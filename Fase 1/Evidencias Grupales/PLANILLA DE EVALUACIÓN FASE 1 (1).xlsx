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A GANTT" sheetId="1" r:id="rId4"/>
    <sheet state="visible" name="EVALUACION1" sheetId="2" r:id="rId5"/>
    <sheet state="visible" name="RUBRICA" sheetId="3" r:id="rId6"/>
    <sheet state="hidden" name="ESCALA_IEP" sheetId="4" r:id="rId7"/>
    <sheet state="hidden" name="ESCALA_PRESENTACION" sheetId="5" r:id="rId8"/>
    <sheet state="hidden" name="ESCALA_TRAB_EQUIP" sheetId="6" r:id="rId9"/>
    <sheet state="hidden" name="RELEVANCIA-PUNTAJE" sheetId="7" r:id="rId10"/>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L">'RELEVANCIA-PUNTAJE'!$C$2</definedName>
    <definedName name="RE_ML">'RELEVANCIA-PUNTAJE'!$D$4</definedName>
    <definedName name="PR_TL">'RELEVANCIA-PUNTAJE'!$B$5</definedName>
    <definedName name="TL">'RELEVANCIA-PUNTAJE'!$B$2</definedName>
    <definedName name="ML">'RELEVANCIA-PUNTAJE'!$D$2</definedName>
    <definedName name="RE">'RELEVANCIA-PUNTAJE'!$A$4</definedName>
    <definedName name="RE_TL">'RELEVANCIA-PUNTAJE'!$B$4</definedName>
    <definedName name="MR_L">'RELEVANCIA-PUNTAJE'!$C$3</definedName>
    <definedName name="MR_CL">'RELEVANCIA-PUNTAJE'!$B$3</definedName>
    <definedName name="MR_NL">'RELEVANCIA-PUNTAJE'!$E$3</definedName>
    <definedName name="MR_TL">'RELEVANCIA-PUNTAJE'!$B$3</definedName>
    <definedName name="RE_NL">'RELEVANCIA-PUNTAJE'!$E$4</definedName>
    <definedName name="MR_ML">'RELEVANCIA-PUNTAJE'!$D$3</definedName>
    <definedName name="NL">'RELEVANCIA-PUNTAJE'!$E$2</definedName>
    <definedName name="MR">'RELEVANCIA-PUNTAJE'!$A$3</definedName>
    <definedName name="PR">'RELEVANCIA-PUNTAJE'!$A$5</definedName>
    <definedName name="PR_ML">'RELEVANCIA-PUNTAJE'!$D$5</definedName>
    <definedName name="CL">'RELEVANCIA-PUNTAJE'!$B$2</definedName>
  </definedNames>
  <calcPr/>
  <extLst>
    <ext uri="GoogleSheetsCustomDataVersion2">
      <go:sheetsCustomData xmlns:go="http://customooxmlschemas.google.com/" r:id="rId11" roundtripDataChecksum="Jfsx3DdBUteYXKUD52YfzizLU+TBBdywXp26NIsZkDI="/>
    </ext>
  </extLst>
</workbook>
</file>

<file path=xl/sharedStrings.xml><?xml version="1.0" encoding="utf-8"?>
<sst xmlns="http://schemas.openxmlformats.org/spreadsheetml/2006/main" count="177" uniqueCount="135">
  <si>
    <t>Puntaje</t>
  </si>
  <si>
    <t>Indicador de Evaluación</t>
  </si>
  <si>
    <t>Nota</t>
  </si>
  <si>
    <t>Categorías de Respuesta</t>
  </si>
  <si>
    <t>Actividad</t>
  </si>
  <si>
    <t>Actividades Proyecto CoreStream App - Septiembre a Diciembre 2026</t>
  </si>
  <si>
    <t>SEPTIEMBRE</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</si>
  <si>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</si>
  <si>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</si>
  <si>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</si>
  <si>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INTEGRANTES</t>
  </si>
  <si>
    <t xml:space="preserve">Logro incipiente </t>
  </si>
  <si>
    <t>OCTUBRE</t>
  </si>
  <si>
    <t>No logrado</t>
  </si>
  <si>
    <t>Daniela Cuevas Chávez</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</si>
  <si>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</si>
  <si>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</si>
  <si>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</si>
  <si>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</si>
  <si>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</si>
  <si>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</si>
  <si>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</si>
  <si>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Juan Pablo López Peña</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</si>
  <si>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</si>
  <si>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</si>
  <si>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</si>
  <si>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</si>
  <si>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NOVIEMBRE</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</si>
  <si>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</si>
  <si>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</si>
  <si>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</si>
  <si>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</si>
  <si>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GRUPAL</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</si>
  <si>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</si>
  <si>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</si>
  <si>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</si>
  <si>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</si>
  <si>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</si>
  <si>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</si>
  <si>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DICIEMBRE</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</si>
  <si>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</si>
  <si>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</si>
  <si>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</si>
  <si>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</si>
  <si>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</si>
  <si>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</si>
  <si>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</si>
  <si>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</si>
  <si>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</si>
  <si>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</si>
  <si>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</si>
  <si>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</si>
  <si>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NIVELES DE LOGRO Y PUNTAJES</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</si>
  <si>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</si>
  <si>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</si>
  <si>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</si>
  <si>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</si>
  <si>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</si>
  <si>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</si>
  <si>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</si>
  <si>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</si>
  <si>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Aspectos a Evaluar</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</si>
  <si>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</si>
  <si>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</si>
  <si>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</si>
  <si>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</si>
  <si>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</si>
  <si>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Completamente logrado</t>
  </si>
  <si>
    <t>10. Cumple completando el contenido del informe de presentación del proyecto de acuerdo con la plantilla entregada.</t>
  </si>
  <si>
    <t>Logrado</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</si>
  <si>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</si>
  <si>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</si>
  <si>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Logro Incipiente</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</si>
  <si>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</si>
  <si>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</si>
  <si>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</si>
  <si>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</si>
  <si>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</si>
  <si>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</si>
  <si>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</si>
  <si>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</si>
  <si>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</si>
  <si>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</si>
  <si>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</si>
  <si>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</si>
  <si>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</si>
  <si>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Fase de Análisis y Planificación</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</si>
  <si>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</si>
  <si>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</si>
  <si>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</si>
  <si>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Semana 1</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</si>
  <si>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</si>
  <si>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</si>
  <si>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Semana 2</t>
  </si>
  <si>
    <t>Semana 3</t>
  </si>
  <si>
    <t>Semana 4</t>
  </si>
  <si>
    <t>Semana 5</t>
  </si>
  <si>
    <t>Semana 6</t>
  </si>
  <si>
    <t>Semana 7</t>
  </si>
  <si>
    <t>Semana 8</t>
  </si>
  <si>
    <t>Semana 9</t>
  </si>
  <si>
    <t>Semana 10</t>
  </si>
  <si>
    <t>Semana 11</t>
  </si>
  <si>
    <t>Semana 12</t>
  </si>
  <si>
    <t>Revisión de requerimientos y documentación de Alloxentric</t>
  </si>
  <si>
    <t>Definición de alcance y priorización</t>
  </si>
  <si>
    <t>PUNTOS</t>
  </si>
  <si>
    <t>NOTA</t>
  </si>
  <si>
    <t>Distribución de responsabilidades y planificación del trabajo</t>
  </si>
  <si>
    <t>Fase de Diseño Técnico</t>
  </si>
  <si>
    <t>Diseño de arquitectura y ajustes del modelo de datos</t>
  </si>
  <si>
    <t>Relevancia</t>
  </si>
  <si>
    <t>INDIVIDUAL</t>
  </si>
  <si>
    <t>NOMBRE ALUMNO</t>
  </si>
  <si>
    <t>Logro incipiente</t>
  </si>
  <si>
    <t>Muy Relevante</t>
  </si>
  <si>
    <t>Diseño de endpoints e integración con CoreStream App</t>
  </si>
  <si>
    <t>Capacidad de Trabajo en Equipo</t>
  </si>
  <si>
    <t>Medianamente logrado</t>
  </si>
  <si>
    <t>Preparación del entorno y estrategia de pruebas</t>
  </si>
  <si>
    <t>Fase de Desarrollo e Implementación</t>
  </si>
  <si>
    <t>PUNTAJE</t>
  </si>
  <si>
    <t>Corrección e integración del dashboard móvil (APP-08)</t>
  </si>
  <si>
    <t>Comentarios y menciones en tickets (NEW-01)</t>
  </si>
  <si>
    <t>Etiquetas y búsqueda avanzada (NEW-03)</t>
  </si>
  <si>
    <t>Planificación de sprints o iteraciones (NEW-05)</t>
  </si>
  <si>
    <t>Adjuntos y evidencia en tickets e incidencias (NEW-02)</t>
  </si>
  <si>
    <t>Buscador global unificado (NEW-13)</t>
  </si>
  <si>
    <t>Modo offline y sincronización diferida (NEW-09)</t>
  </si>
  <si>
    <t>Escalabilidad y despliegue mediante contenedores (TRV-09)</t>
  </si>
  <si>
    <t>Fase de Verificación y Cierre</t>
  </si>
  <si>
    <t>Pruebas funcionales y de integración</t>
  </si>
  <si>
    <t>Corrección de errores y validación de criterios de aceptación</t>
  </si>
  <si>
    <t>Documentación final y recopilación de evidencias</t>
  </si>
  <si>
    <t>Preparación de presentación y cierre del proyecto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</si>
</sst>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
  </numFmts>
  <fonts count="18">
    <font>
      <sz val="11.0"/>
      <color rgb="FF000000"/>
      <name val="Calibri"/>
      <scheme val="minor"/>
    </font>
    <font>
      <color theme="1"/>
      <name val="Calibri"/>
      <scheme val="minor"/>
    </font>
    <font>
      <b/>
      <sz val="10.0"/>
      <color rgb="FFFFFFFF"/>
      <name val="Calibri"/>
    </font>
    <font>
      <sz val="11.0"/>
      <color rgb="FF000000"/>
      <name val="Calibri"/>
    </font>
    <font>
      <b/>
      <sz val="11.0"/>
      <color rgb="FF000000"/>
      <name val="Calibri"/>
    </font>
    <font/>
    <font>
      <b/>
      <color rgb="FF1F1F1F"/>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color rgb="FF000000"/>
      <name val="Calibri"/>
    </font>
    <font>
      <b/>
      <sz val="10.0"/>
      <color rgb="FF000000"/>
      <name val="Calibri"/>
    </font>
    <font>
      <b/>
      <sz val="11.0"/>
      <color rgb="FF1F1F1F"/>
      <name val="Calibri"/>
    </font>
    <font>
      <sz val="9.0"/>
      <color rgb="FF000000"/>
      <name val="Calibri"/>
    </font>
    <font>
      <sz val="14.0"/>
      <color rgb="FF000000"/>
      <name val="Calibri"/>
    </font>
    <font>
      <sz val="16.0"/>
      <color rgb="FF000000"/>
      <name val="Calibri"/>
    </font>
  </fonts>
  <fills count="20">
    <fill>
      <patternFill patternType="none"/>
    </fill>
    <fill>
      <patternFill patternType="lightGray"/>
    </fill>
    <fill>
      <patternFill patternType="solid">
        <fgColor rgb="FF262626"/>
        <bgColor rgb="FF262626"/>
      </patternFill>
    </fill>
    <fill>
      <patternFill patternType="solid">
        <fgColor rgb="FFE7E6E6"/>
        <bgColor rgb="FFE7E6E6"/>
      </patternFill>
    </fill>
    <fill>
      <patternFill patternType="solid">
        <fgColor theme="0"/>
        <bgColor theme="0"/>
      </patternFill>
    </fill>
    <fill>
      <patternFill patternType="solid">
        <fgColor rgb="FFD9EAD3"/>
        <bgColor rgb="FFD9EAD3"/>
      </patternFill>
    </fill>
    <fill>
      <patternFill patternType="solid">
        <fgColor rgb="FFFEF2CB"/>
        <bgColor rgb="FFFEF2CB"/>
      </patternFill>
    </fill>
    <fill>
      <patternFill patternType="solid">
        <fgColor rgb="FFD9D9D9"/>
        <bgColor rgb="FFD9D9D9"/>
      </patternFill>
    </fill>
    <fill>
      <patternFill patternType="solid">
        <fgColor rgb="FFF2F2F2"/>
        <bgColor rgb="FFF2F2F2"/>
      </patternFill>
    </fill>
    <fill>
      <patternFill patternType="solid">
        <fgColor rgb="FFC6E0B4"/>
        <bgColor rgb="FFC6E0B4"/>
      </patternFill>
    </fill>
    <fill>
      <patternFill patternType="solid">
        <fgColor rgb="FFFFF200"/>
        <bgColor rgb="FFFFF200"/>
      </patternFill>
    </fill>
    <fill>
      <patternFill patternType="solid">
        <fgColor rgb="FFFFFFFF"/>
        <bgColor rgb="FFFFFFFF"/>
      </patternFill>
    </fill>
    <fill>
      <patternFill patternType="solid">
        <fgColor rgb="FFD8D8D8"/>
        <bgColor rgb="FFD8D8D8"/>
      </patternFill>
    </fill>
    <fill>
      <patternFill patternType="solid">
        <fgColor rgb="FF92D050"/>
        <bgColor rgb="FF92D050"/>
      </patternFill>
    </fill>
    <fill>
      <patternFill patternType="solid">
        <fgColor rgb="FFE2EFD9"/>
        <bgColor rgb="FFE2EFD9"/>
      </patternFill>
    </fill>
    <fill>
      <patternFill patternType="solid">
        <fgColor rgb="FFDEEAF6"/>
        <bgColor rgb="FFDEEAF6"/>
      </patternFill>
    </fill>
    <fill>
      <patternFill patternType="solid">
        <fgColor rgb="FFC5E0B3"/>
        <bgColor rgb="FFC5E0B3"/>
      </patternFill>
    </fill>
    <fill>
      <patternFill patternType="solid">
        <fgColor rgb="FF00B0F0"/>
        <bgColor rgb="FF00B0F0"/>
      </patternFill>
    </fill>
    <fill>
      <patternFill patternType="solid">
        <fgColor rgb="FFECECEC"/>
        <bgColor rgb="FFECECEC"/>
      </patternFill>
    </fill>
    <fill>
      <patternFill patternType="solid">
        <fgColor rgb="FF7030A0"/>
        <bgColor rgb="FF7030A0"/>
      </patternFill>
    </fill>
  </fills>
  <borders count="53">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666666"/>
      </left>
      <top style="thin">
        <color rgb="FF666666"/>
      </top>
      <bottom style="thin">
        <color rgb="FF666666"/>
      </bottom>
    </border>
    <border>
      <top style="thin">
        <color rgb="FF666666"/>
      </top>
      <bottom style="thin">
        <color rgb="FF666666"/>
      </bottom>
    </border>
    <border>
      <left style="medium">
        <color rgb="FF7F7F7F"/>
      </left>
      <right style="medium">
        <color rgb="FF7F7F7F"/>
      </right>
    </border>
    <border>
      <right style="thin">
        <color rgb="FF666666"/>
      </right>
      <top style="thin">
        <color rgb="FF666666"/>
      </top>
      <bottom style="thin">
        <color rgb="FF666666"/>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thin">
        <color rgb="FF000000"/>
      </left>
      <right style="thin">
        <color rgb="FF000000"/>
      </right>
      <top style="thin">
        <color rgb="FF000000"/>
      </top>
      <bottom style="thin">
        <color rgb="FF000000"/>
      </bottom>
    </border>
    <border>
      <right style="medium">
        <color rgb="FF7F7F7F"/>
      </right>
      <top style="medium">
        <color rgb="FF7F7F7F"/>
      </top>
    </border>
    <border>
      <left style="thin">
        <color rgb="FF000000"/>
      </left>
      <right style="thin">
        <color rgb="FF000000"/>
      </right>
      <top style="thin">
        <color rgb="FF000000"/>
      </top>
    </border>
    <border>
      <top style="thin">
        <color rgb="FFD9D9D9"/>
      </top>
      <bottom style="thin">
        <color rgb="FF000000"/>
      </bottom>
    </border>
    <border>
      <right style="thin">
        <color rgb="FF808080"/>
      </right>
      <top style="thin">
        <color rgb="FFD9D9D9"/>
      </top>
      <bottom style="thin">
        <color rgb="FF000000"/>
      </bottom>
    </border>
    <border>
      <top style="thin">
        <color rgb="FF000000"/>
      </top>
      <bottom style="thin">
        <color rgb="FF000000"/>
      </bottom>
    </border>
    <border>
      <left style="thin">
        <color rgb="FF000000"/>
      </left>
      <right style="thin">
        <color rgb="FF000000"/>
      </right>
    </border>
    <border>
      <top style="thin">
        <color rgb="FFD9D9D9"/>
      </top>
    </border>
    <border>
      <left style="thin">
        <color rgb="FF000000"/>
      </left>
      <right style="thin">
        <color rgb="FF000000"/>
      </right>
      <top style="thin">
        <color rgb="FF000000"/>
      </top>
      <bottom/>
    </border>
    <border>
      <right style="thin">
        <color rgb="FF808080"/>
      </right>
      <top style="thin">
        <color rgb="FFD9D9D9"/>
      </top>
    </border>
    <border>
      <left style="thin">
        <color rgb="FF000000"/>
      </left>
      <right style="thin">
        <color rgb="FF000000"/>
      </right>
      <bottom style="thin">
        <color rgb="FF000000"/>
      </bottom>
    </border>
    <border>
      <left style="thin">
        <color rgb="FF666666"/>
      </left>
      <right style="thin">
        <color rgb="FF000000"/>
      </right>
      <top style="thin">
        <color rgb="FF666666"/>
      </top>
      <bottom style="thin">
        <color rgb="FF666666"/>
      </bottom>
    </border>
    <border>
      <right style="thin">
        <color rgb="FF808080"/>
      </right>
      <top style="thin">
        <color rgb="FF000000"/>
      </top>
      <bottom style="thin">
        <color rgb="FF000000"/>
      </bottom>
    </border>
    <border>
      <left style="thin">
        <color rgb="FFD9D9D9"/>
      </left>
      <right style="thin">
        <color rgb="FF000000"/>
      </right>
      <top style="thin">
        <color rgb="FF000000"/>
      </top>
      <bottom style="thin">
        <color rgb="FF000000"/>
      </bottom>
    </border>
    <border>
      <right style="thin">
        <color rgb="FF000000"/>
      </right>
    </border>
    <border>
      <right style="thin">
        <color rgb="FF808080"/>
      </right>
    </border>
    <border>
      <left style="thin">
        <color rgb="FF000000"/>
      </left>
    </border>
    <border>
      <left style="thin">
        <color rgb="FFD9D9D9"/>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9D9D9"/>
      </left>
      <right style="thin">
        <color rgb="FF000000"/>
      </right>
      <bottom style="thin">
        <color rgb="FFD9D9D9"/>
      </bottom>
    </border>
    <border>
      <right style="thin">
        <color rgb="FF000000"/>
      </right>
      <bottom style="thin">
        <color rgb="FFD9D9D9"/>
      </bottom>
    </border>
    <border>
      <bottom style="thin">
        <color rgb="FFD9D9D9"/>
      </bottom>
    </border>
    <border>
      <right style="thin">
        <color rgb="FF808080"/>
      </right>
      <bottom style="thin">
        <color rgb="FFD9D9D9"/>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2" fontId="2" numFmtId="0" xfId="0" applyAlignment="1" applyBorder="1" applyFill="1" applyFont="1">
      <alignment horizontal="center" shrinkToFit="0" vertical="center" wrapText="1"/>
    </xf>
    <xf borderId="3" fillId="3" fontId="4" numFmtId="0" xfId="0" applyAlignment="1" applyBorder="1" applyFill="1" applyFont="1">
      <alignment horizontal="center" readingOrder="0" shrinkToFit="0" wrapText="0"/>
    </xf>
    <xf borderId="0" fillId="4" fontId="1" numFmtId="0" xfId="0" applyFill="1" applyFont="1"/>
    <xf borderId="4" fillId="3" fontId="4" numFmtId="0" xfId="0" applyAlignment="1" applyBorder="1" applyFill="1" applyFont="1">
      <alignment horizontal="center" readingOrder="0" shrinkToFit="0" wrapText="0"/>
    </xf>
    <xf borderId="5" fillId="0" fontId="5" numFmtId="0" xfId="0" applyBorder="1" applyFont="1"/>
    <xf borderId="6" fillId="0" fontId="5" numFmtId="0" xfId="0" applyBorder="1" applyFont="1"/>
    <xf borderId="7" fillId="5" fontId="6" numFmtId="0" xfId="0" applyAlignment="1" applyBorder="1" applyFill="1" applyFont="1">
      <alignment horizontal="center" readingOrder="0" shrinkToFit="0" wrapText="0"/>
    </xf>
    <xf borderId="0" fillId="4" fontId="3" numFmtId="9" xfId="0" applyAlignment="1" applyFill="1" applyFont="1" applyNumberFormat="1">
      <alignment horizontal="center" shrinkToFit="0" vertical="center" wrapText="1"/>
    </xf>
    <xf borderId="8" fillId="0" fontId="5" numFmtId="0" xfId="0" applyBorder="1" applyFont="1"/>
    <xf borderId="9" fillId="0" fontId="5" numFmtId="0" xfId="0" applyBorder="1" applyFont="1"/>
    <xf borderId="0" fillId="4" fontId="3" numFmtId="9" xfId="0" applyAlignment="1" applyFill="1" applyFont="1" applyNumberFormat="1">
      <alignment horizontal="center" vertical="center"/>
    </xf>
    <xf borderId="1" fillId="2" fontId="7" numFmtId="0" xfId="0" applyAlignment="1" applyBorder="1" applyFill="1" applyFont="1">
      <alignment horizontal="center" shrinkToFit="0" vertical="center" wrapText="1"/>
    </xf>
    <xf borderId="10" fillId="0" fontId="5" numFmtId="0" xfId="0" applyBorder="1" applyFont="1"/>
    <xf borderId="0" fillId="0" fontId="4" numFmtId="0" xfId="0" applyFont="1"/>
    <xf borderId="11" fillId="2" fontId="7" numFmtId="0" xfId="0" applyAlignment="1" applyBorder="1" applyFill="1" applyFont="1">
      <alignment horizontal="center" shrinkToFit="0" vertical="center" wrapText="1"/>
    </xf>
    <xf borderId="0" fillId="4" fontId="3" numFmtId="0" xfId="0" applyAlignment="1" applyFill="1" applyFont="1">
      <alignment horizontal="center" shrinkToFit="0" vertical="center" wrapText="1"/>
    </xf>
    <xf borderId="11" fillId="2" fontId="2" numFmtId="0" xfId="0" applyAlignment="1" applyBorder="1" applyFill="1" applyFont="1">
      <alignment horizontal="center" shrinkToFit="0" vertical="center" wrapText="1"/>
    </xf>
    <xf borderId="8" fillId="5" fontId="6" numFmtId="0" xfId="0" applyAlignment="1" applyBorder="1" applyFill="1" applyFont="1">
      <alignment horizontal="center" readingOrder="0" shrinkToFit="0" wrapText="0"/>
    </xf>
    <xf borderId="12" fillId="0" fontId="5" numFmtId="0" xfId="0" applyBorder="1" applyFont="1"/>
    <xf borderId="0" fillId="0" fontId="3" numFmtId="0" xfId="0" applyAlignment="1" applyFont="1">
      <alignment horizontal="right" vertical="center"/>
    </xf>
    <xf borderId="0" fillId="0" fontId="4" numFmtId="0" xfId="0" applyAlignment="1" applyFont="1">
      <alignment readingOrder="0"/>
    </xf>
    <xf borderId="13" fillId="2" fontId="2" numFmtId="9" xfId="0" applyAlignment="1" applyBorder="1" applyFill="1" applyFont="1" applyNumberFormat="1">
      <alignment horizontal="center" shrinkToFit="0" vertical="center" wrapText="1"/>
    </xf>
    <xf borderId="12" fillId="0" fontId="8" numFmtId="0" xfId="0" applyAlignment="1" applyBorder="1" applyFont="1">
      <alignment horizontal="left" shrinkToFit="0" vertical="center" wrapText="1"/>
    </xf>
    <xf borderId="0" fillId="4" fontId="3" numFmtId="164" xfId="0" applyAlignment="1" applyFill="1" applyFont="1" applyNumberFormat="1">
      <alignment horizontal="center" readingOrder="0"/>
    </xf>
    <xf borderId="14" fillId="0" fontId="8" numFmtId="0" xfId="0" applyAlignment="1" applyBorder="1" applyFont="1">
      <alignment horizontal="left" shrinkToFit="0" vertical="center" wrapText="1"/>
    </xf>
    <xf borderId="0" fillId="4" fontId="3" numFmtId="164" xfId="0" applyAlignment="1" applyFill="1" applyFont="1" applyNumberFormat="1">
      <alignment horizontal="center"/>
    </xf>
    <xf borderId="14" fillId="0" fontId="9" numFmtId="0" xfId="0" applyAlignment="1" applyBorder="1" applyFont="1">
      <alignment horizontal="center" shrinkToFit="0" vertical="center" wrapText="1"/>
    </xf>
    <xf borderId="0" fillId="0" fontId="3" numFmtId="164" xfId="0" applyFont="1" applyNumberFormat="1"/>
    <xf borderId="1" fillId="0" fontId="8" numFmtId="0" xfId="0" applyAlignment="1" applyBorder="1" applyFont="1">
      <alignment horizontal="left" shrinkToFit="0" vertical="center" wrapText="1"/>
    </xf>
    <xf borderId="15"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16" fillId="0" fontId="8" numFmtId="0" xfId="0" applyAlignment="1" applyBorder="1" applyFont="1">
      <alignment horizontal="left" shrinkToFit="0" vertical="center" wrapText="1"/>
    </xf>
    <xf borderId="17" fillId="0" fontId="9" numFmtId="0" xfId="0" applyAlignment="1" applyBorder="1" applyFont="1">
      <alignment horizontal="center" shrinkToFit="0" vertical="center" wrapText="1"/>
    </xf>
    <xf borderId="18" fillId="6" fontId="10" numFmtId="0" xfId="0" applyAlignment="1" applyBorder="1" applyFill="1" applyFont="1">
      <alignment horizontal="center" textRotation="255" vertical="center"/>
    </xf>
    <xf borderId="16" fillId="7" fontId="11" numFmtId="0" xfId="0" applyAlignment="1" applyBorder="1" applyFill="1" applyFont="1">
      <alignment horizontal="center" vertical="center"/>
    </xf>
    <xf borderId="19" fillId="8" fontId="12" numFmtId="0" xfId="0" applyAlignment="1" applyBorder="1" applyFill="1" applyFont="1">
      <alignment horizontal="center" shrinkToFit="0" wrapText="0"/>
    </xf>
    <xf borderId="18" fillId="7" fontId="13" numFmtId="0" xfId="0" applyAlignment="1" applyBorder="1" applyFill="1" applyFont="1">
      <alignment horizontal="center" vertical="center"/>
    </xf>
    <xf borderId="3" fillId="7" fontId="13" numFmtId="0" xfId="0" applyAlignment="1" applyBorder="1" applyFill="1" applyFont="1">
      <alignment horizontal="center" vertical="center"/>
    </xf>
    <xf borderId="20" fillId="8" fontId="12" numFmtId="0" xfId="0" applyAlignment="1" applyBorder="1" applyFill="1" applyFont="1">
      <alignment horizontal="center" shrinkToFit="0" wrapText="0"/>
    </xf>
    <xf borderId="21" fillId="0" fontId="5" numFmtId="0" xfId="0" applyBorder="1" applyFont="1"/>
    <xf borderId="9" fillId="0" fontId="8" numFmtId="0" xfId="0" applyAlignment="1" applyBorder="1" applyFont="1">
      <alignment horizontal="left" shrinkToFit="0" vertical="center" wrapText="1"/>
    </xf>
    <xf borderId="4" fillId="0" fontId="5" numFmtId="0" xfId="0" applyBorder="1" applyFont="1"/>
    <xf borderId="22" fillId="0" fontId="5" numFmtId="0" xfId="0" applyBorder="1" applyFont="1"/>
    <xf borderId="23" fillId="8" fontId="12" numFmtId="0" xfId="0" applyAlignment="1" applyBorder="1" applyFill="1" applyFont="1">
      <alignment horizontal="center" shrinkToFit="0" wrapText="0"/>
    </xf>
    <xf borderId="15" fillId="0" fontId="9" numFmtId="0" xfId="0" applyAlignment="1" applyBorder="1" applyFont="1">
      <alignment horizontal="center" shrinkToFit="0" vertical="center" wrapText="1"/>
    </xf>
    <xf borderId="24" fillId="7" fontId="13" numFmtId="0" xfId="0" applyAlignment="1" applyBorder="1" applyFill="1" applyFont="1">
      <alignment horizontal="center" vertical="center"/>
    </xf>
    <xf borderId="25" fillId="8" fontId="12" numFmtId="0" xfId="0" applyAlignment="1" applyBorder="1" applyFill="1" applyFont="1">
      <alignment horizontal="center" shrinkToFit="0" wrapText="0"/>
    </xf>
    <xf borderId="26" fillId="0" fontId="5" numFmtId="0" xfId="0" applyBorder="1" applyFont="1"/>
    <xf borderId="16" fillId="0" fontId="9" numFmtId="0" xfId="0" applyAlignment="1" applyBorder="1" applyFont="1">
      <alignment horizontal="center" shrinkToFit="0" vertical="center" wrapText="1"/>
    </xf>
    <xf borderId="27" fillId="9" fontId="14" numFmtId="0" xfId="0" applyAlignment="1" applyBorder="1" applyFill="1" applyFont="1">
      <alignment horizontal="center" readingOrder="0" shrinkToFit="0" wrapText="0"/>
    </xf>
    <xf borderId="10" fillId="9" fontId="14" numFmtId="0" xfId="0" applyAlignment="1" applyBorder="1" applyFill="1" applyFont="1">
      <alignment readingOrder="0"/>
    </xf>
    <xf borderId="16" fillId="0" fontId="15" numFmtId="0" xfId="0" applyAlignment="1" applyBorder="1" applyFont="1">
      <alignment horizontal="left" shrinkToFit="0" vertical="center" wrapText="1"/>
    </xf>
    <xf borderId="21" fillId="8" fontId="12" numFmtId="0" xfId="0" applyAlignment="1" applyBorder="1" applyFill="1" applyFont="1">
      <alignment horizontal="center" readingOrder="0" shrinkToFit="0" wrapText="0"/>
    </xf>
    <xf borderId="2" fillId="0" fontId="9" numFmtId="0" xfId="0" applyAlignment="1" applyBorder="1" applyFont="1">
      <alignment horizontal="right" shrinkToFit="0" vertical="center" wrapText="1"/>
    </xf>
    <xf borderId="28" fillId="0" fontId="5" numFmtId="0" xfId="0" applyBorder="1" applyFont="1"/>
    <xf borderId="14" fillId="0" fontId="9" numFmtId="9" xfId="0" applyAlignment="1" applyBorder="1" applyFont="1" applyNumberFormat="1">
      <alignment horizontal="center" shrinkToFit="0" vertical="center" wrapText="1"/>
    </xf>
    <xf borderId="4" fillId="0" fontId="8" numFmtId="0" xfId="0" applyAlignment="1" applyBorder="1" applyFont="1">
      <alignment horizontal="left" vertical="center"/>
    </xf>
    <xf borderId="3" fillId="8" fontId="12" numFmtId="0" xfId="0" applyAlignment="1" applyBorder="1" applyFill="1" applyFont="1">
      <alignment horizontal="center" readingOrder="0" shrinkToFit="0" wrapText="0"/>
    </xf>
    <xf borderId="16" fillId="0" fontId="8" numFmtId="0" xfId="0" applyAlignment="1" applyBorder="1" applyFont="1">
      <alignment horizontal="center" vertical="center"/>
    </xf>
    <xf borderId="16" fillId="0" fontId="8" numFmtId="0" xfId="0" applyAlignment="1" applyBorder="1" applyFont="1">
      <alignment horizontal="center" readingOrder="0" vertical="center"/>
    </xf>
    <xf borderId="21" fillId="8" fontId="12" numFmtId="0" xfId="0" applyAlignment="1" applyBorder="1" applyFill="1" applyFont="1">
      <alignment horizontal="center" shrinkToFit="0" wrapText="0"/>
    </xf>
    <xf borderId="29" fillId="0" fontId="3" numFmtId="165" xfId="0" applyAlignment="1" applyBorder="1" applyFont="1" applyNumberFormat="1">
      <alignment horizontal="center" readingOrder="0"/>
    </xf>
    <xf borderId="30" fillId="0" fontId="3" numFmtId="0" xfId="0" applyAlignment="1" applyBorder="1" applyFont="1">
      <alignment readingOrder="0"/>
    </xf>
    <xf borderId="0" fillId="10" fontId="3" numFmtId="0" xfId="0" applyAlignment="1" applyFill="1" applyFont="1">
      <alignment shrinkToFit="0" wrapText="0"/>
    </xf>
    <xf borderId="31" fillId="10" fontId="3" numFmtId="0" xfId="0" applyAlignment="1" applyBorder="1" applyFill="1" applyFont="1">
      <alignment shrinkToFit="0" wrapText="0"/>
    </xf>
    <xf borderId="32" fillId="11" fontId="3" numFmtId="0" xfId="0" applyAlignment="1" applyBorder="1" applyFill="1" applyFont="1">
      <alignment shrinkToFit="0" wrapText="0"/>
    </xf>
    <xf borderId="0" fillId="11" fontId="3" numFmtId="0" xfId="0" applyAlignment="1" applyFill="1" applyFont="1">
      <alignment shrinkToFit="0" wrapText="0"/>
    </xf>
    <xf borderId="31" fillId="11" fontId="3" numFmtId="0" xfId="0" applyAlignment="1" applyBorder="1" applyFill="1" applyFont="1">
      <alignment shrinkToFit="0" wrapText="0"/>
    </xf>
    <xf borderId="33" fillId="0" fontId="3" numFmtId="165" xfId="0" applyAlignment="1" applyBorder="1" applyFont="1" applyNumberFormat="1">
      <alignment horizontal="center" readingOrder="0"/>
    </xf>
    <xf borderId="32" fillId="10" fontId="3" numFmtId="0" xfId="0" applyAlignment="1" applyBorder="1" applyFill="1" applyFont="1">
      <alignment shrinkToFit="0" wrapText="0"/>
    </xf>
    <xf borderId="27" fillId="9" fontId="14" numFmtId="0" xfId="0" applyAlignment="1" applyBorder="1" applyFill="1" applyFont="1">
      <alignment horizontal="center" readingOrder="0"/>
    </xf>
    <xf borderId="26" fillId="0" fontId="15" numFmtId="0" xfId="0" applyAlignment="1" applyBorder="1" applyFont="1">
      <alignment horizontal="right" shrinkToFit="0" vertical="center" wrapText="1"/>
    </xf>
    <xf borderId="16" fillId="0" fontId="16" numFmtId="0" xfId="0" applyBorder="1" applyFont="1"/>
    <xf borderId="16" fillId="12" fontId="3" numFmtId="0" xfId="0" applyBorder="1" applyFill="1" applyFont="1"/>
    <xf borderId="32" fillId="13" fontId="3" numFmtId="0" xfId="0" applyAlignment="1" applyBorder="1" applyFill="1" applyFont="1">
      <alignment shrinkToFit="0" wrapText="0"/>
    </xf>
    <xf borderId="0" fillId="13" fontId="3" numFmtId="0" xfId="0" applyAlignment="1" applyFill="1" applyFont="1">
      <alignment shrinkToFit="0" wrapText="0"/>
    </xf>
    <xf borderId="31" fillId="13" fontId="3" numFmtId="0" xfId="0" applyAlignment="1" applyBorder="1" applyFill="1" applyFont="1">
      <alignment shrinkToFit="0" wrapText="0"/>
    </xf>
    <xf borderId="34" fillId="7" fontId="4" numFmtId="0" xfId="0" applyAlignment="1" applyBorder="1" applyFill="1" applyFont="1">
      <alignment horizontal="left" shrinkToFit="0" vertical="center" wrapText="1"/>
    </xf>
    <xf borderId="18" fillId="14" fontId="3" numFmtId="0" xfId="0" applyAlignment="1" applyBorder="1" applyFill="1" applyFont="1">
      <alignment horizontal="center" textRotation="255" vertical="center"/>
    </xf>
    <xf borderId="35" fillId="7" fontId="4" numFmtId="0" xfId="0" applyAlignment="1" applyBorder="1" applyFill="1" applyFont="1">
      <alignment shrinkToFit="0" vertical="center" wrapText="1"/>
    </xf>
    <xf borderId="36" fillId="7" fontId="4" numFmtId="0" xfId="0" applyAlignment="1" applyBorder="1" applyFill="1" applyFont="1">
      <alignment shrinkToFit="0" vertical="center" wrapText="1"/>
    </xf>
    <xf borderId="18" fillId="15" fontId="3" numFmtId="0" xfId="0" applyAlignment="1" applyBorder="1" applyFill="1" applyFont="1">
      <alignment horizontal="right" vertical="center"/>
    </xf>
    <xf borderId="37" fillId="7" fontId="4" numFmtId="0" xfId="0" applyAlignment="1" applyBorder="1" applyFill="1" applyFont="1">
      <alignment shrinkToFit="0" vertical="center" wrapText="1"/>
    </xf>
    <xf borderId="38" fillId="0" fontId="5" numFmtId="0" xfId="0" applyBorder="1" applyFont="1"/>
    <xf borderId="39" fillId="7" fontId="4" numFmtId="0" xfId="0" applyAlignment="1" applyBorder="1" applyFill="1" applyFont="1">
      <alignment shrinkToFit="0" vertical="center" wrapText="1"/>
    </xf>
    <xf borderId="40" fillId="7" fontId="4" numFmtId="0" xfId="0" applyAlignment="1" applyBorder="1" applyFill="1" applyFont="1">
      <alignment shrinkToFit="0" vertical="center" wrapText="1"/>
    </xf>
    <xf borderId="41" fillId="7" fontId="4" numFmtId="0" xfId="0" applyAlignment="1" applyBorder="1" applyFill="1" applyFont="1">
      <alignment shrinkToFit="0" vertical="center" wrapText="1"/>
    </xf>
    <xf borderId="38" fillId="0" fontId="4" numFmtId="0" xfId="0" applyAlignment="1" applyBorder="1" applyFont="1">
      <alignment horizontal="left" shrinkToFit="0" vertical="center" wrapText="1"/>
    </xf>
    <xf borderId="42" fillId="0" fontId="4" numFmtId="0" xfId="0" applyAlignment="1" applyBorder="1" applyFont="1">
      <alignment horizontal="left" shrinkToFit="0" vertical="center" wrapText="1"/>
    </xf>
    <xf borderId="43" fillId="0" fontId="17" numFmtId="0" xfId="0" applyAlignment="1" applyBorder="1" applyFont="1">
      <alignment horizontal="left" vertical="center"/>
    </xf>
    <xf borderId="44" fillId="0" fontId="5" numFmtId="0" xfId="0" applyBorder="1" applyFont="1"/>
    <xf borderId="45" fillId="0" fontId="5" numFmtId="0" xfId="0" applyBorder="1" applyFont="1"/>
    <xf borderId="16" fillId="16" fontId="4" numFmtId="165" xfId="0" applyAlignment="1" applyBorder="1" applyFill="1" applyFont="1" applyNumberFormat="1">
      <alignment horizontal="center" readingOrder="0"/>
    </xf>
    <xf borderId="46" fillId="0" fontId="5" numFmtId="0" xfId="0" applyBorder="1" applyFont="1"/>
    <xf borderId="47" fillId="0" fontId="5" numFmtId="0" xfId="0" applyBorder="1" applyFont="1"/>
    <xf borderId="16" fillId="16" fontId="4" numFmtId="0" xfId="0" applyAlignment="1" applyBorder="1" applyFill="1" applyFont="1">
      <alignment readingOrder="0"/>
    </xf>
    <xf borderId="48" fillId="0" fontId="5" numFmtId="0" xfId="0" applyBorder="1" applyFont="1"/>
    <xf borderId="16" fillId="7" fontId="13" numFmtId="0" xfId="0" applyAlignment="1" applyBorder="1" applyFill="1" applyFont="1">
      <alignment horizontal="center" vertical="center"/>
    </xf>
    <xf borderId="16" fillId="0" fontId="4" numFmtId="0" xfId="0" applyAlignment="1" applyBorder="1" applyFont="1">
      <alignment horizontal="right" shrinkToFit="0" vertical="center" wrapText="1"/>
    </xf>
    <xf borderId="32" fillId="17" fontId="3" numFmtId="0" xfId="0" applyAlignment="1" applyBorder="1" applyFill="1" applyFont="1">
      <alignment shrinkToFit="0" wrapText="0"/>
    </xf>
    <xf borderId="0" fillId="17" fontId="3" numFmtId="0" xfId="0" applyAlignment="1" applyFill="1" applyFont="1">
      <alignment shrinkToFit="0" wrapText="0"/>
    </xf>
    <xf borderId="31" fillId="17" fontId="3" numFmtId="0" xfId="0" applyAlignment="1" applyBorder="1" applyFill="1" applyFont="1">
      <alignment shrinkToFit="0" wrapText="0"/>
    </xf>
    <xf borderId="0" fillId="0" fontId="15" numFmtId="0" xfId="0" applyAlignment="1" applyFont="1">
      <alignment horizontal="right" shrinkToFit="0" vertical="center" wrapText="1"/>
    </xf>
    <xf borderId="0" fillId="0" fontId="16" numFmtId="164" xfId="0" applyFont="1" applyNumberFormat="1"/>
    <xf borderId="16" fillId="0" fontId="15" numFmtId="0" xfId="0" applyAlignment="1" applyBorder="1" applyFont="1">
      <alignment horizontal="right" shrinkToFit="0" vertical="center" wrapText="1"/>
    </xf>
    <xf borderId="16" fillId="0" fontId="16" numFmtId="164" xfId="0" applyBorder="1" applyFont="1" applyNumberFormat="1"/>
    <xf borderId="30" fillId="11" fontId="3" numFmtId="0" xfId="0" applyAlignment="1" applyBorder="1" applyFill="1" applyFont="1">
      <alignment shrinkToFit="0" wrapText="0"/>
    </xf>
    <xf borderId="0" fillId="18" fontId="3" numFmtId="0" xfId="0" applyAlignment="1" applyFill="1" applyFont="1">
      <alignment shrinkToFit="0" wrapText="0"/>
    </xf>
    <xf borderId="31" fillId="18" fontId="3" numFmtId="0" xfId="0" applyAlignment="1" applyBorder="1" applyFill="1" applyFont="1">
      <alignment shrinkToFit="0" wrapText="0"/>
    </xf>
    <xf borderId="0" fillId="19" fontId="3" numFmtId="0" xfId="0" applyAlignment="1" applyFill="1" applyFont="1">
      <alignment shrinkToFit="0" wrapText="0"/>
    </xf>
    <xf borderId="31" fillId="19" fontId="3" numFmtId="0" xfId="0" applyAlignment="1" applyBorder="1" applyFill="1" applyFont="1">
      <alignment shrinkToFit="0" wrapText="0"/>
    </xf>
    <xf borderId="16" fillId="16" fontId="3" numFmtId="0" xfId="0" applyAlignment="1" applyBorder="1" applyFill="1" applyFont="1">
      <alignment readingOrder="0"/>
    </xf>
    <xf borderId="48" fillId="11" fontId="3" numFmtId="0" xfId="0" applyAlignment="1" applyBorder="1" applyFill="1" applyFont="1">
      <alignment shrinkToFit="0" wrapText="0"/>
    </xf>
    <xf borderId="16" fillId="0" fontId="3" numFmtId="165" xfId="0" applyAlignment="1" applyBorder="1" applyFont="1" applyNumberFormat="1">
      <alignment horizontal="center" readingOrder="0"/>
    </xf>
    <xf borderId="4" fillId="0" fontId="3" numFmtId="0" xfId="0" applyAlignment="1" applyBorder="1" applyFont="1">
      <alignment readingOrder="0"/>
    </xf>
    <xf borderId="21" fillId="11" fontId="3" numFmtId="0" xfId="0" applyAlignment="1" applyBorder="1" applyFill="1" applyFont="1">
      <alignment shrinkToFit="0" wrapText="0"/>
    </xf>
    <xf borderId="28" fillId="11" fontId="3" numFmtId="0" xfId="0" applyAlignment="1" applyBorder="1" applyFill="1" applyFont="1">
      <alignment shrinkToFit="0" wrapText="0"/>
    </xf>
    <xf borderId="3" fillId="11" fontId="3" numFmtId="0" xfId="0" applyAlignment="1" applyBorder="1" applyFill="1" applyFont="1">
      <alignment shrinkToFit="0" wrapText="0"/>
    </xf>
    <xf borderId="21" fillId="19" fontId="3" numFmtId="0" xfId="0" applyAlignment="1" applyBorder="1" applyFill="1" applyFont="1">
      <alignment shrinkToFit="0" wrapText="0"/>
    </xf>
    <xf borderId="4" fillId="19" fontId="3" numFmtId="0" xfId="0" applyAlignment="1" applyBorder="1" applyFill="1" applyFont="1">
      <alignment shrinkToFit="0" wrapText="0"/>
    </xf>
    <xf borderId="33" fillId="0" fontId="3" numFmtId="0" xfId="0" applyAlignment="1" applyBorder="1" applyFont="1">
      <alignment horizontal="center" shrinkToFit="0" wrapText="0"/>
    </xf>
    <xf borderId="30" fillId="0" fontId="3" numFmtId="0" xfId="0" applyBorder="1" applyFont="1"/>
    <xf borderId="49" fillId="0" fontId="3" numFmtId="0" xfId="0" applyAlignment="1" applyBorder="1" applyFont="1">
      <alignment horizontal="center" shrinkToFit="0" wrapText="0"/>
    </xf>
    <xf borderId="50" fillId="0" fontId="3" numFmtId="0" xfId="0" applyBorder="1" applyFont="1"/>
    <xf borderId="51" fillId="11" fontId="3" numFmtId="0" xfId="0" applyAlignment="1" applyBorder="1" applyFill="1" applyFont="1">
      <alignment shrinkToFit="0" wrapText="0"/>
    </xf>
    <xf borderId="52" fillId="11" fontId="3" numFmtId="0" xfId="0" applyAlignment="1" applyBorder="1" applyFill="1" applyFont="1">
      <alignment shrinkToFit="0" wrapText="0"/>
    </xf>
    <xf borderId="51" fillId="18" fontId="3" numFmtId="0" xfId="0" applyAlignment="1" applyBorder="1" applyFill="1" applyFont="1">
      <alignment shrinkToFit="0" wrapText="0"/>
    </xf>
    <xf borderId="52" fillId="18" fontId="3" numFmtId="0" xfId="0" applyAlignment="1" applyBorder="1" applyFill="1" applyFont="1">
      <alignment shrinkToFit="0" wrapText="0"/>
    </xf>
    <xf borderId="0" fillId="18" fontId="1" numFmtId="0" xfId="0" applyFill="1" applyFon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8.29"/>
    <col customWidth="1" min="2" max="2" width="54.43"/>
    <col customWidth="1" min="3" max="3" width="7.57"/>
    <col customWidth="1" min="4" max="4" width="6.43"/>
    <col customWidth="1" min="5" max="5" width="6.29"/>
    <col customWidth="1" min="6" max="6" width="6.71"/>
    <col customWidth="1" min="7" max="7" width="6.0"/>
    <col customWidth="1" min="8" max="8" width="6.43"/>
    <col customWidth="1" min="9" max="9" width="6.0"/>
    <col customWidth="1" min="10" max="10" width="6.29"/>
    <col customWidth="1" min="11" max="11" width="5.71"/>
    <col customWidth="1" min="12" max="12" width="6.57"/>
    <col customWidth="1" min="13" max="13" width="6.14"/>
    <col customWidth="1" min="14" max="14" width="6.0"/>
    <col customWidth="1" min="15" max="15" width="5.71"/>
    <col customWidth="1" min="16" max="16" width="6.0"/>
    <col customWidth="1" min="17" max="17" width="5.57"/>
    <col customWidth="1" min="18" max="18" width="6.43"/>
    <col customWidth="1" min="19" max="19" width="6.29"/>
    <col customWidth="1" min="20" max="20" width="6.0"/>
    <col customWidth="1" min="21" max="21" width="6.14"/>
    <col customWidth="1" min="22" max="23" width="6.0"/>
    <col customWidth="1" min="24" max="25" width="6.14"/>
    <col customWidth="1" min="26" max="62" width="7.0"/>
  </cols>
  <sheetData>
    <row r="1">
      <c r="A1" s="5" t="s">
        <v>4</v>
      </c>
      <c r="B1" s="7" t="s">
        <v>5</v>
      </c>
      <c r="C1" s="10" t="s">
        <v>6</v>
      </c>
      <c r="D1" s="12"/>
      <c r="E1" s="12"/>
      <c r="F1" s="12"/>
      <c r="G1" s="12"/>
      <c r="H1" s="12"/>
      <c r="I1" s="12"/>
      <c r="J1" s="12"/>
      <c r="K1" s="12"/>
      <c r="L1" s="12"/>
      <c r="M1" s="12"/>
      <c r="N1" s="12"/>
      <c r="O1" s="12"/>
      <c r="P1" s="12"/>
      <c r="Q1" s="16"/>
      <c r="R1" s="21" t="s">
        <v>12</v>
      </c>
      <c r="S1" s="12"/>
      <c r="T1" s="12"/>
      <c r="U1" s="12"/>
      <c r="V1" s="12"/>
      <c r="W1" s="12"/>
      <c r="X1" s="12"/>
      <c r="Y1" s="12"/>
      <c r="Z1" s="12"/>
      <c r="AA1" s="12"/>
      <c r="AB1" s="12"/>
      <c r="AC1" s="12"/>
      <c r="AD1" s="12"/>
      <c r="AE1" s="12"/>
      <c r="AF1" s="12"/>
      <c r="AG1" s="12"/>
      <c r="AH1" s="12"/>
      <c r="AI1" s="12"/>
      <c r="AJ1" s="12"/>
      <c r="AK1" s="16"/>
      <c r="AL1" s="21" t="s">
        <v>27</v>
      </c>
      <c r="AM1" s="12"/>
      <c r="AN1" s="12"/>
      <c r="AO1" s="12"/>
      <c r="AP1" s="12"/>
      <c r="AQ1" s="12"/>
      <c r="AR1" s="12"/>
      <c r="AS1" s="12"/>
      <c r="AT1" s="12"/>
      <c r="AU1" s="12"/>
      <c r="AV1" s="12"/>
      <c r="AW1" s="12"/>
      <c r="AX1" s="12"/>
      <c r="AY1" s="12"/>
      <c r="AZ1" s="12"/>
      <c r="BA1" s="12"/>
      <c r="BB1" s="12"/>
      <c r="BC1" s="12"/>
      <c r="BD1" s="12"/>
      <c r="BE1" s="16"/>
      <c r="BF1" s="21" t="s">
        <v>39</v>
      </c>
      <c r="BG1" s="12"/>
      <c r="BH1" s="12"/>
      <c r="BI1" s="12"/>
      <c r="BJ1" s="16"/>
      <c r="BK1" s="39"/>
      <c r="BL1" s="39"/>
      <c r="BM1" s="39"/>
      <c r="BN1" s="39"/>
      <c r="BO1" s="42"/>
      <c r="BP1" s="39"/>
      <c r="BQ1" s="39"/>
      <c r="BR1" s="39"/>
      <c r="BS1" s="39"/>
      <c r="BT1" s="42"/>
      <c r="BU1" s="47"/>
      <c r="BV1" s="47"/>
      <c r="BW1" s="47"/>
      <c r="BX1" s="47"/>
      <c r="BY1" s="50"/>
      <c r="BZ1" s="47"/>
      <c r="CA1" s="47"/>
      <c r="CB1" s="47"/>
      <c r="CC1" s="47"/>
      <c r="CD1" s="50"/>
      <c r="CE1" s="47"/>
      <c r="CF1" s="47"/>
      <c r="CG1" s="47"/>
      <c r="CH1" s="47"/>
      <c r="CI1" s="50"/>
      <c r="CJ1" s="47"/>
      <c r="CK1" s="47"/>
      <c r="CL1" s="47"/>
      <c r="CM1" s="47"/>
      <c r="CN1" s="50"/>
    </row>
    <row r="2">
      <c r="A2" s="53">
        <v>1.0</v>
      </c>
      <c r="B2" s="54" t="s">
        <v>86</v>
      </c>
      <c r="C2" s="56" t="s">
        <v>90</v>
      </c>
      <c r="D2" s="43"/>
      <c r="E2" s="43"/>
      <c r="F2" s="43"/>
      <c r="G2" s="58"/>
      <c r="H2" s="61" t="s">
        <v>93</v>
      </c>
      <c r="I2" s="43"/>
      <c r="J2" s="43"/>
      <c r="K2" s="43"/>
      <c r="L2" s="58"/>
      <c r="M2" s="61" t="s">
        <v>94</v>
      </c>
      <c r="N2" s="43"/>
      <c r="O2" s="43"/>
      <c r="P2" s="43"/>
      <c r="Q2" s="58"/>
      <c r="R2" s="61" t="s">
        <v>95</v>
      </c>
      <c r="S2" s="43"/>
      <c r="T2" s="43"/>
      <c r="U2" s="43"/>
      <c r="V2" s="58"/>
      <c r="W2" s="61" t="s">
        <v>96</v>
      </c>
      <c r="X2" s="43"/>
      <c r="Y2" s="43"/>
      <c r="Z2" s="43"/>
      <c r="AA2" s="58"/>
      <c r="AB2" s="61" t="s">
        <v>97</v>
      </c>
      <c r="AC2" s="43"/>
      <c r="AD2" s="43"/>
      <c r="AE2" s="43"/>
      <c r="AF2" s="58"/>
      <c r="AG2" s="56" t="s">
        <v>98</v>
      </c>
      <c r="AH2" s="43"/>
      <c r="AI2" s="43"/>
      <c r="AJ2" s="43"/>
      <c r="AK2" s="58"/>
      <c r="AL2" s="61" t="s">
        <v>99</v>
      </c>
      <c r="AM2" s="43"/>
      <c r="AN2" s="43"/>
      <c r="AO2" s="43"/>
      <c r="AP2" s="58"/>
      <c r="AQ2" s="56" t="s">
        <v>100</v>
      </c>
      <c r="AR2" s="43"/>
      <c r="AS2" s="43"/>
      <c r="AT2" s="43"/>
      <c r="AU2" s="58"/>
      <c r="AV2" s="56" t="s">
        <v>101</v>
      </c>
      <c r="AW2" s="43"/>
      <c r="AX2" s="43"/>
      <c r="AY2" s="43"/>
      <c r="AZ2" s="58"/>
      <c r="BA2" s="56" t="s">
        <v>102</v>
      </c>
      <c r="BB2" s="43"/>
      <c r="BC2" s="43"/>
      <c r="BD2" s="43"/>
      <c r="BE2" s="58"/>
      <c r="BF2" s="56" t="s">
        <v>103</v>
      </c>
      <c r="BG2" s="43"/>
      <c r="BH2" s="43"/>
      <c r="BI2" s="43"/>
      <c r="BJ2" s="58"/>
      <c r="BK2" s="64"/>
      <c r="BL2" s="43"/>
      <c r="BM2" s="43"/>
      <c r="BN2" s="43"/>
      <c r="BO2" s="58"/>
      <c r="BP2" s="64"/>
      <c r="BQ2" s="43"/>
      <c r="BR2" s="43"/>
      <c r="BS2" s="43"/>
      <c r="BT2" s="58"/>
      <c r="BU2" s="64"/>
      <c r="BV2" s="43"/>
      <c r="BW2" s="43"/>
      <c r="BX2" s="43"/>
      <c r="BY2" s="58"/>
      <c r="BZ2" s="64"/>
      <c r="CA2" s="43"/>
      <c r="CB2" s="43"/>
      <c r="CC2" s="43"/>
      <c r="CD2" s="58"/>
      <c r="CE2" s="64"/>
      <c r="CF2" s="43"/>
      <c r="CG2" s="43"/>
      <c r="CH2" s="43"/>
      <c r="CI2" s="58"/>
      <c r="CJ2" s="64"/>
      <c r="CK2" s="43"/>
      <c r="CL2" s="43"/>
      <c r="CM2" s="43"/>
      <c r="CN2" s="58"/>
    </row>
    <row r="3">
      <c r="A3" s="65">
        <v>46023.0</v>
      </c>
      <c r="B3" s="66" t="s">
        <v>104</v>
      </c>
      <c r="C3" s="67"/>
      <c r="D3" s="67"/>
      <c r="E3" s="67"/>
      <c r="F3" s="67"/>
      <c r="G3" s="68"/>
      <c r="H3" s="69"/>
      <c r="I3" s="70"/>
      <c r="J3" s="70"/>
      <c r="K3" s="70"/>
      <c r="L3" s="71"/>
      <c r="M3" s="69"/>
      <c r="N3" s="70"/>
      <c r="O3" s="70"/>
      <c r="P3" s="70"/>
      <c r="Q3" s="71"/>
      <c r="R3" s="69"/>
      <c r="S3" s="70"/>
      <c r="T3" s="70"/>
      <c r="U3" s="70"/>
      <c r="V3" s="71"/>
      <c r="W3" s="69"/>
      <c r="X3" s="70"/>
      <c r="Y3" s="70"/>
      <c r="Z3" s="70"/>
      <c r="AA3" s="71"/>
      <c r="AB3" s="69"/>
      <c r="AC3" s="70"/>
      <c r="AD3" s="70"/>
      <c r="AE3" s="70"/>
      <c r="AF3" s="71"/>
      <c r="AG3" s="70"/>
      <c r="AH3" s="70"/>
      <c r="AI3" s="70"/>
      <c r="AJ3" s="70"/>
      <c r="AK3" s="71"/>
      <c r="AL3" s="69"/>
      <c r="AM3" s="70"/>
      <c r="AN3" s="70"/>
      <c r="AO3" s="70"/>
      <c r="AP3" s="71"/>
      <c r="AQ3" s="70"/>
      <c r="AR3" s="70"/>
      <c r="AS3" s="70"/>
      <c r="AT3" s="70"/>
      <c r="AU3" s="71"/>
      <c r="AV3" s="70"/>
      <c r="AW3" s="70"/>
      <c r="AX3" s="70"/>
      <c r="AY3" s="70"/>
      <c r="AZ3" s="71"/>
      <c r="BA3" s="70"/>
      <c r="BB3" s="70"/>
      <c r="BC3" s="70"/>
      <c r="BD3" s="70"/>
      <c r="BE3" s="71"/>
      <c r="BF3" s="70"/>
      <c r="BG3" s="70"/>
      <c r="BH3" s="70"/>
      <c r="BI3" s="70"/>
      <c r="BJ3" s="71"/>
      <c r="BK3" s="70"/>
      <c r="BL3" s="70"/>
      <c r="BM3" s="70"/>
      <c r="BN3" s="70"/>
      <c r="BO3" s="71"/>
      <c r="BP3" s="70"/>
      <c r="BQ3" s="70"/>
      <c r="BR3" s="70"/>
      <c r="BS3" s="70"/>
      <c r="BT3" s="71"/>
      <c r="BU3" s="70"/>
      <c r="BV3" s="70"/>
      <c r="BW3" s="70"/>
      <c r="BX3" s="70"/>
      <c r="BY3" s="71"/>
      <c r="BZ3" s="70"/>
      <c r="CA3" s="70"/>
      <c r="CB3" s="70"/>
      <c r="CC3" s="70"/>
      <c r="CD3" s="71"/>
      <c r="CE3" s="70"/>
      <c r="CF3" s="70"/>
      <c r="CG3" s="70"/>
      <c r="CH3" s="70"/>
      <c r="CI3" s="71"/>
      <c r="CJ3" s="70"/>
      <c r="CK3" s="70"/>
      <c r="CL3" s="70"/>
      <c r="CM3" s="70"/>
      <c r="CN3" s="71"/>
    </row>
    <row r="4">
      <c r="A4" s="72">
        <v>46054.0</v>
      </c>
      <c r="B4" s="66" t="s">
        <v>105</v>
      </c>
      <c r="C4" s="67"/>
      <c r="D4" s="67"/>
      <c r="E4" s="67"/>
      <c r="F4" s="67"/>
      <c r="G4" s="68"/>
      <c r="H4" s="69"/>
      <c r="I4" s="70"/>
      <c r="J4" s="70"/>
      <c r="K4" s="70"/>
      <c r="L4" s="71"/>
      <c r="M4" s="69"/>
      <c r="N4" s="70"/>
      <c r="O4" s="70"/>
      <c r="P4" s="70"/>
      <c r="Q4" s="71"/>
      <c r="R4" s="69"/>
      <c r="S4" s="70"/>
      <c r="T4" s="70"/>
      <c r="U4" s="70"/>
      <c r="V4" s="71"/>
      <c r="W4" s="69"/>
      <c r="X4" s="70"/>
      <c r="Y4" s="70"/>
      <c r="Z4" s="70"/>
      <c r="AA4" s="71"/>
      <c r="AB4" s="69"/>
      <c r="AC4" s="70"/>
      <c r="AD4" s="70"/>
      <c r="AE4" s="70"/>
      <c r="AF4" s="71"/>
      <c r="AG4" s="70"/>
      <c r="AH4" s="70"/>
      <c r="AI4" s="70"/>
      <c r="AJ4" s="70"/>
      <c r="AK4" s="71"/>
      <c r="AL4" s="69"/>
      <c r="AM4" s="70"/>
      <c r="AN4" s="70"/>
      <c r="AO4" s="70"/>
      <c r="AP4" s="71"/>
      <c r="AQ4" s="70"/>
      <c r="AR4" s="70"/>
      <c r="AS4" s="70"/>
      <c r="AT4" s="70"/>
      <c r="AU4" s="71"/>
      <c r="AV4" s="70"/>
      <c r="AW4" s="70"/>
      <c r="AX4" s="70"/>
      <c r="AY4" s="70"/>
      <c r="AZ4" s="71"/>
      <c r="BA4" s="70"/>
      <c r="BB4" s="70"/>
      <c r="BC4" s="70"/>
      <c r="BD4" s="70"/>
      <c r="BE4" s="71"/>
      <c r="BF4" s="70"/>
      <c r="BG4" s="70"/>
      <c r="BH4" s="70"/>
      <c r="BI4" s="70"/>
      <c r="BJ4" s="71"/>
      <c r="BK4" s="70"/>
      <c r="BL4" s="70"/>
      <c r="BM4" s="70"/>
      <c r="BN4" s="70"/>
      <c r="BO4" s="71"/>
      <c r="BP4" s="70"/>
      <c r="BQ4" s="70"/>
      <c r="BR4" s="70"/>
      <c r="BS4" s="70"/>
      <c r="BT4" s="71"/>
      <c r="BU4" s="70"/>
      <c r="BV4" s="70"/>
      <c r="BW4" s="70"/>
      <c r="BX4" s="70"/>
      <c r="BY4" s="71"/>
      <c r="BZ4" s="70"/>
      <c r="CA4" s="70"/>
      <c r="CB4" s="70"/>
      <c r="CC4" s="70"/>
      <c r="CD4" s="71"/>
      <c r="CE4" s="70"/>
      <c r="CF4" s="70"/>
      <c r="CG4" s="70"/>
      <c r="CH4" s="70"/>
      <c r="CI4" s="71"/>
      <c r="CJ4" s="70"/>
      <c r="CK4" s="70"/>
      <c r="CL4" s="70"/>
      <c r="CM4" s="70"/>
      <c r="CN4" s="71"/>
    </row>
    <row r="5">
      <c r="A5" s="72">
        <v>46082.0</v>
      </c>
      <c r="B5" s="66" t="s">
        <v>108</v>
      </c>
      <c r="C5" s="67"/>
      <c r="D5" s="67"/>
      <c r="E5" s="67"/>
      <c r="F5" s="67"/>
      <c r="G5" s="68"/>
      <c r="H5" s="73"/>
      <c r="I5" s="67"/>
      <c r="J5" s="67"/>
      <c r="K5" s="67"/>
      <c r="L5" s="68"/>
      <c r="M5" s="69"/>
      <c r="N5" s="70"/>
      <c r="O5" s="70"/>
      <c r="P5" s="70"/>
      <c r="Q5" s="71"/>
      <c r="R5" s="69"/>
      <c r="S5" s="70"/>
      <c r="T5" s="70"/>
      <c r="U5" s="70"/>
      <c r="V5" s="71"/>
      <c r="W5" s="69"/>
      <c r="X5" s="70"/>
      <c r="Y5" s="70"/>
      <c r="Z5" s="70"/>
      <c r="AA5" s="71"/>
      <c r="AB5" s="69"/>
      <c r="AC5" s="70"/>
      <c r="AD5" s="70"/>
      <c r="AE5" s="70"/>
      <c r="AF5" s="71"/>
      <c r="AG5" s="70"/>
      <c r="AH5" s="70"/>
      <c r="AI5" s="70"/>
      <c r="AJ5" s="70"/>
      <c r="AK5" s="71"/>
      <c r="AL5" s="69"/>
      <c r="AM5" s="70"/>
      <c r="AN5" s="70"/>
      <c r="AO5" s="70"/>
      <c r="AP5" s="71"/>
      <c r="AQ5" s="70"/>
      <c r="AR5" s="70"/>
      <c r="AS5" s="70"/>
      <c r="AT5" s="70"/>
      <c r="AU5" s="71"/>
      <c r="AV5" s="70"/>
      <c r="AW5" s="70"/>
      <c r="AX5" s="70"/>
      <c r="AY5" s="70"/>
      <c r="AZ5" s="71"/>
      <c r="BA5" s="70"/>
      <c r="BB5" s="70"/>
      <c r="BC5" s="70"/>
      <c r="BD5" s="70"/>
      <c r="BE5" s="71"/>
      <c r="BF5" s="70"/>
      <c r="BG5" s="70"/>
      <c r="BH5" s="70"/>
      <c r="BI5" s="70"/>
      <c r="BJ5" s="71"/>
      <c r="BK5" s="70"/>
      <c r="BL5" s="70"/>
      <c r="BM5" s="70"/>
      <c r="BN5" s="70"/>
      <c r="BO5" s="71"/>
      <c r="BP5" s="70"/>
      <c r="BQ5" s="70"/>
      <c r="BR5" s="70"/>
      <c r="BS5" s="70"/>
      <c r="BT5" s="71"/>
      <c r="BU5" s="70"/>
      <c r="BV5" s="70"/>
      <c r="BW5" s="70"/>
      <c r="BX5" s="70"/>
      <c r="BY5" s="71"/>
      <c r="BZ5" s="70"/>
      <c r="CA5" s="70"/>
      <c r="CB5" s="70"/>
      <c r="CC5" s="70"/>
      <c r="CD5" s="71"/>
      <c r="CE5" s="70"/>
      <c r="CF5" s="70"/>
      <c r="CG5" s="70"/>
      <c r="CH5" s="70"/>
      <c r="CI5" s="71"/>
      <c r="CJ5" s="70"/>
      <c r="CK5" s="70"/>
      <c r="CL5" s="70"/>
      <c r="CM5" s="70"/>
      <c r="CN5" s="71"/>
    </row>
    <row r="6">
      <c r="A6" s="74">
        <v>2.0</v>
      </c>
      <c r="B6" s="54" t="s">
        <v>109</v>
      </c>
      <c r="C6" s="70"/>
      <c r="D6" s="70"/>
      <c r="E6" s="70"/>
      <c r="F6" s="70"/>
      <c r="G6" s="71"/>
      <c r="H6" s="70"/>
      <c r="I6" s="70"/>
      <c r="J6" s="70"/>
      <c r="K6" s="70"/>
      <c r="L6" s="71"/>
      <c r="M6" s="69"/>
      <c r="N6" s="70"/>
      <c r="O6" s="70"/>
      <c r="P6" s="70"/>
      <c r="Q6" s="71"/>
      <c r="R6" s="69"/>
      <c r="S6" s="70"/>
      <c r="T6" s="70"/>
      <c r="U6" s="70"/>
      <c r="V6" s="71"/>
      <c r="W6" s="69"/>
      <c r="X6" s="70"/>
      <c r="Y6" s="70"/>
      <c r="Z6" s="70"/>
      <c r="AA6" s="71"/>
      <c r="AB6" s="69"/>
      <c r="AC6" s="70"/>
      <c r="AD6" s="70"/>
      <c r="AE6" s="70"/>
      <c r="AF6" s="71"/>
      <c r="AG6" s="70"/>
      <c r="AH6" s="70"/>
      <c r="AI6" s="70"/>
      <c r="AJ6" s="70"/>
      <c r="AK6" s="71"/>
      <c r="AL6" s="69"/>
      <c r="AM6" s="70"/>
      <c r="AN6" s="70"/>
      <c r="AO6" s="70"/>
      <c r="AP6" s="71"/>
      <c r="AQ6" s="70"/>
      <c r="AR6" s="70"/>
      <c r="AS6" s="70"/>
      <c r="AT6" s="70"/>
      <c r="AU6" s="71"/>
      <c r="AV6" s="70"/>
      <c r="AW6" s="70"/>
      <c r="AX6" s="70"/>
      <c r="AY6" s="70"/>
      <c r="AZ6" s="71"/>
      <c r="BA6" s="70"/>
      <c r="BB6" s="70"/>
      <c r="BC6" s="70"/>
      <c r="BD6" s="70"/>
      <c r="BE6" s="71"/>
      <c r="BF6" s="70"/>
      <c r="BG6" s="70"/>
      <c r="BH6" s="70"/>
      <c r="BI6" s="70"/>
      <c r="BJ6" s="71"/>
      <c r="BK6" s="70"/>
      <c r="BL6" s="70"/>
      <c r="BM6" s="70"/>
      <c r="BN6" s="70"/>
      <c r="BO6" s="71"/>
      <c r="BP6" s="70"/>
      <c r="BQ6" s="70"/>
      <c r="BR6" s="70"/>
      <c r="BS6" s="70"/>
      <c r="BT6" s="71"/>
      <c r="BU6" s="70"/>
      <c r="BV6" s="70"/>
      <c r="BW6" s="70"/>
      <c r="BX6" s="70"/>
      <c r="BY6" s="71"/>
      <c r="BZ6" s="70"/>
      <c r="CA6" s="70"/>
      <c r="CB6" s="70"/>
      <c r="CC6" s="70"/>
      <c r="CD6" s="71"/>
      <c r="CE6" s="70"/>
      <c r="CF6" s="70"/>
      <c r="CG6" s="70"/>
      <c r="CH6" s="70"/>
      <c r="CI6" s="71"/>
      <c r="CJ6" s="70"/>
      <c r="CK6" s="70"/>
      <c r="CL6" s="70"/>
      <c r="CM6" s="70"/>
      <c r="CN6" s="71"/>
    </row>
    <row r="7">
      <c r="A7" s="65">
        <v>46024.0</v>
      </c>
      <c r="B7" s="66" t="s">
        <v>110</v>
      </c>
      <c r="C7" s="70"/>
      <c r="D7" s="70"/>
      <c r="E7" s="70"/>
      <c r="F7" s="70"/>
      <c r="G7" s="71"/>
      <c r="H7" s="78"/>
      <c r="I7" s="79"/>
      <c r="J7" s="79"/>
      <c r="K7" s="79"/>
      <c r="L7" s="80"/>
      <c r="M7" s="69"/>
      <c r="N7" s="70"/>
      <c r="O7" s="70"/>
      <c r="P7" s="70"/>
      <c r="Q7" s="71"/>
      <c r="R7" s="69"/>
      <c r="S7" s="70"/>
      <c r="T7" s="70"/>
      <c r="U7" s="70"/>
      <c r="V7" s="71"/>
      <c r="W7" s="69"/>
      <c r="X7" s="70"/>
      <c r="Y7" s="70"/>
      <c r="Z7" s="70"/>
      <c r="AA7" s="71"/>
      <c r="AB7" s="69"/>
      <c r="AC7" s="70"/>
      <c r="AD7" s="70"/>
      <c r="AE7" s="70"/>
      <c r="AF7" s="71"/>
      <c r="AG7" s="70"/>
      <c r="AH7" s="70"/>
      <c r="AI7" s="70"/>
      <c r="AJ7" s="70"/>
      <c r="AK7" s="71"/>
      <c r="AL7" s="69"/>
      <c r="AM7" s="70"/>
      <c r="AN7" s="70"/>
      <c r="AO7" s="70"/>
      <c r="AP7" s="71"/>
      <c r="AQ7" s="70"/>
      <c r="AR7" s="70"/>
      <c r="AS7" s="70"/>
      <c r="AT7" s="70"/>
      <c r="AU7" s="71"/>
      <c r="AV7" s="70"/>
      <c r="AW7" s="70"/>
      <c r="AX7" s="70"/>
      <c r="AY7" s="70"/>
      <c r="AZ7" s="71"/>
      <c r="BA7" s="70"/>
      <c r="BB7" s="70"/>
      <c r="BC7" s="70"/>
      <c r="BD7" s="70"/>
      <c r="BE7" s="71"/>
      <c r="BF7" s="70"/>
      <c r="BG7" s="70"/>
      <c r="BH7" s="70"/>
      <c r="BI7" s="70"/>
      <c r="BJ7" s="71"/>
      <c r="BK7" s="70"/>
      <c r="BL7" s="70"/>
      <c r="BM7" s="70"/>
      <c r="BN7" s="70"/>
      <c r="BO7" s="71"/>
      <c r="BP7" s="70"/>
      <c r="BQ7" s="70"/>
      <c r="BR7" s="70"/>
      <c r="BS7" s="70"/>
      <c r="BT7" s="71"/>
      <c r="BU7" s="70"/>
      <c r="BV7" s="70"/>
      <c r="BW7" s="70"/>
      <c r="BX7" s="70"/>
      <c r="BY7" s="71"/>
      <c r="BZ7" s="70"/>
      <c r="CA7" s="70"/>
      <c r="CB7" s="70"/>
      <c r="CC7" s="70"/>
      <c r="CD7" s="71"/>
      <c r="CE7" s="70"/>
      <c r="CF7" s="70"/>
      <c r="CG7" s="70"/>
      <c r="CH7" s="70"/>
      <c r="CI7" s="71"/>
      <c r="CJ7" s="70"/>
      <c r="CK7" s="70"/>
      <c r="CL7" s="70"/>
      <c r="CM7" s="70"/>
      <c r="CN7" s="71"/>
    </row>
    <row r="8">
      <c r="A8" s="96">
        <v>46055.0</v>
      </c>
      <c r="B8" s="99" t="s">
        <v>116</v>
      </c>
      <c r="C8" s="70"/>
      <c r="D8" s="70"/>
      <c r="E8" s="70"/>
      <c r="F8" s="70"/>
      <c r="G8" s="71"/>
      <c r="H8" s="78"/>
      <c r="I8" s="79"/>
      <c r="J8" s="79"/>
      <c r="K8" s="79"/>
      <c r="L8" s="80"/>
      <c r="M8" s="78"/>
      <c r="N8" s="79"/>
      <c r="O8" s="79"/>
      <c r="P8" s="79"/>
      <c r="Q8" s="80"/>
      <c r="R8" s="69"/>
      <c r="S8" s="70"/>
      <c r="T8" s="70"/>
      <c r="U8" s="70"/>
      <c r="V8" s="71"/>
      <c r="W8" s="69"/>
      <c r="X8" s="70"/>
      <c r="Y8" s="70"/>
      <c r="Z8" s="70"/>
      <c r="AA8" s="71"/>
      <c r="AB8" s="69"/>
      <c r="AC8" s="70"/>
      <c r="AD8" s="70"/>
      <c r="AE8" s="70"/>
      <c r="AF8" s="71"/>
      <c r="AG8" s="70"/>
      <c r="AH8" s="70"/>
      <c r="AI8" s="70"/>
      <c r="AJ8" s="70"/>
      <c r="AK8" s="71"/>
      <c r="AL8" s="69"/>
      <c r="AM8" s="70"/>
      <c r="AN8" s="70"/>
      <c r="AO8" s="70"/>
      <c r="AP8" s="71"/>
      <c r="AQ8" s="70"/>
      <c r="AR8" s="70"/>
      <c r="AS8" s="70"/>
      <c r="AT8" s="70"/>
      <c r="AU8" s="71"/>
      <c r="AV8" s="70"/>
      <c r="AW8" s="70"/>
      <c r="AX8" s="70"/>
      <c r="AY8" s="70"/>
      <c r="AZ8" s="71"/>
      <c r="BA8" s="70"/>
      <c r="BB8" s="70"/>
      <c r="BC8" s="70"/>
      <c r="BD8" s="70"/>
      <c r="BE8" s="71"/>
      <c r="BF8" s="70"/>
      <c r="BG8" s="70"/>
      <c r="BH8" s="70"/>
      <c r="BI8" s="70"/>
      <c r="BJ8" s="71"/>
      <c r="BK8" s="70"/>
      <c r="BL8" s="70"/>
      <c r="BM8" s="70"/>
      <c r="BN8" s="70"/>
      <c r="BO8" s="71"/>
      <c r="BP8" s="70"/>
      <c r="BQ8" s="70"/>
      <c r="BR8" s="70"/>
      <c r="BS8" s="70"/>
      <c r="BT8" s="71"/>
      <c r="BU8" s="70"/>
      <c r="BV8" s="70"/>
      <c r="BW8" s="70"/>
      <c r="BX8" s="70"/>
      <c r="BY8" s="71"/>
      <c r="BZ8" s="70"/>
      <c r="CA8" s="70"/>
      <c r="CB8" s="70"/>
      <c r="CC8" s="70"/>
      <c r="CD8" s="71"/>
      <c r="CE8" s="70"/>
      <c r="CF8" s="70"/>
      <c r="CG8" s="70"/>
      <c r="CH8" s="70"/>
      <c r="CI8" s="71"/>
      <c r="CJ8" s="70"/>
      <c r="CK8" s="70"/>
      <c r="CL8" s="70"/>
      <c r="CM8" s="70"/>
      <c r="CN8" s="71"/>
    </row>
    <row r="9">
      <c r="A9" s="72">
        <v>46083.0</v>
      </c>
      <c r="B9" s="66" t="s">
        <v>119</v>
      </c>
      <c r="C9" s="70"/>
      <c r="D9" s="70"/>
      <c r="E9" s="70"/>
      <c r="F9" s="70"/>
      <c r="G9" s="71"/>
      <c r="H9" s="70"/>
      <c r="I9" s="70"/>
      <c r="J9" s="70"/>
      <c r="K9" s="70"/>
      <c r="L9" s="71"/>
      <c r="M9" s="78"/>
      <c r="N9" s="79"/>
      <c r="O9" s="79"/>
      <c r="P9" s="79"/>
      <c r="Q9" s="80"/>
      <c r="R9" s="69"/>
      <c r="S9" s="70"/>
      <c r="T9" s="70"/>
      <c r="U9" s="70"/>
      <c r="V9" s="71"/>
      <c r="W9" s="69"/>
      <c r="X9" s="70"/>
      <c r="Y9" s="70"/>
      <c r="Z9" s="70"/>
      <c r="AA9" s="71"/>
      <c r="AB9" s="69"/>
      <c r="AC9" s="70"/>
      <c r="AD9" s="70"/>
      <c r="AE9" s="70"/>
      <c r="AF9" s="71"/>
      <c r="AG9" s="70"/>
      <c r="AH9" s="70"/>
      <c r="AI9" s="70"/>
      <c r="AJ9" s="70"/>
      <c r="AK9" s="71"/>
      <c r="AL9" s="69"/>
      <c r="AM9" s="70"/>
      <c r="AN9" s="70"/>
      <c r="AO9" s="70"/>
      <c r="AP9" s="71"/>
      <c r="AQ9" s="70"/>
      <c r="AR9" s="70"/>
      <c r="AS9" s="70"/>
      <c r="AT9" s="70"/>
      <c r="AU9" s="71"/>
      <c r="AV9" s="70"/>
      <c r="AW9" s="70"/>
      <c r="AX9" s="70"/>
      <c r="AY9" s="70"/>
      <c r="AZ9" s="71"/>
      <c r="BA9" s="70"/>
      <c r="BB9" s="70"/>
      <c r="BC9" s="70"/>
      <c r="BD9" s="70"/>
      <c r="BE9" s="71"/>
      <c r="BF9" s="70"/>
      <c r="BG9" s="70"/>
      <c r="BH9" s="70"/>
      <c r="BI9" s="70"/>
      <c r="BJ9" s="71"/>
      <c r="BK9" s="70"/>
      <c r="BL9" s="70"/>
      <c r="BM9" s="70"/>
      <c r="BN9" s="70"/>
      <c r="BO9" s="71"/>
      <c r="BP9" s="70"/>
      <c r="BQ9" s="70"/>
      <c r="BR9" s="70"/>
      <c r="BS9" s="70"/>
      <c r="BT9" s="71"/>
      <c r="BU9" s="70"/>
      <c r="BV9" s="70"/>
      <c r="BW9" s="70"/>
      <c r="BX9" s="70"/>
      <c r="BY9" s="71"/>
      <c r="BZ9" s="70"/>
      <c r="CA9" s="70"/>
      <c r="CB9" s="70"/>
      <c r="CC9" s="70"/>
      <c r="CD9" s="71"/>
      <c r="CE9" s="70"/>
      <c r="CF9" s="70"/>
      <c r="CG9" s="70"/>
      <c r="CH9" s="70"/>
      <c r="CI9" s="71"/>
      <c r="CJ9" s="70"/>
      <c r="CK9" s="70"/>
      <c r="CL9" s="70"/>
      <c r="CM9" s="70"/>
      <c r="CN9" s="71"/>
    </row>
    <row r="10">
      <c r="A10" s="74">
        <v>3.0</v>
      </c>
      <c r="B10" s="54" t="s">
        <v>120</v>
      </c>
      <c r="C10" s="70"/>
      <c r="D10" s="70"/>
      <c r="E10" s="70"/>
      <c r="F10" s="70"/>
      <c r="G10" s="71"/>
      <c r="H10" s="69"/>
      <c r="I10" s="70"/>
      <c r="J10" s="70"/>
      <c r="K10" s="70"/>
      <c r="L10" s="71"/>
      <c r="M10" s="69"/>
      <c r="N10" s="70"/>
      <c r="O10" s="70"/>
      <c r="P10" s="70"/>
      <c r="Q10" s="71"/>
      <c r="R10" s="70"/>
      <c r="S10" s="70"/>
      <c r="T10" s="70"/>
      <c r="U10" s="70"/>
      <c r="V10" s="71"/>
      <c r="W10" s="69"/>
      <c r="X10" s="70"/>
      <c r="Y10" s="70"/>
      <c r="Z10" s="70"/>
      <c r="AA10" s="71"/>
      <c r="AB10" s="69"/>
      <c r="AC10" s="70"/>
      <c r="AD10" s="70"/>
      <c r="AE10" s="70"/>
      <c r="AF10" s="71"/>
      <c r="AG10" s="70"/>
      <c r="AH10" s="70"/>
      <c r="AI10" s="70"/>
      <c r="AJ10" s="70"/>
      <c r="AK10" s="71"/>
      <c r="AL10" s="70"/>
      <c r="AM10" s="70"/>
      <c r="AN10" s="70"/>
      <c r="AO10" s="70"/>
      <c r="AP10" s="71"/>
      <c r="AQ10" s="70"/>
      <c r="AR10" s="70"/>
      <c r="AS10" s="70"/>
      <c r="AT10" s="70"/>
      <c r="AU10" s="71"/>
      <c r="AV10" s="70"/>
      <c r="AW10" s="70"/>
      <c r="AX10" s="70"/>
      <c r="AY10" s="70"/>
      <c r="AZ10" s="71"/>
      <c r="BA10" s="70"/>
      <c r="BB10" s="70"/>
      <c r="BC10" s="70"/>
      <c r="BD10" s="70"/>
      <c r="BE10" s="71"/>
      <c r="BF10" s="70"/>
      <c r="BG10" s="70"/>
      <c r="BH10" s="70"/>
      <c r="BI10" s="70"/>
      <c r="BJ10" s="71"/>
      <c r="BK10" s="70"/>
      <c r="BL10" s="70"/>
      <c r="BM10" s="70"/>
      <c r="BN10" s="70"/>
      <c r="BO10" s="71"/>
      <c r="BP10" s="70"/>
      <c r="BQ10" s="70"/>
      <c r="BR10" s="70"/>
      <c r="BS10" s="70"/>
      <c r="BT10" s="71"/>
      <c r="BU10" s="70"/>
      <c r="BV10" s="70"/>
      <c r="BW10" s="70"/>
      <c r="BX10" s="70"/>
      <c r="BY10" s="71"/>
      <c r="BZ10" s="70"/>
      <c r="CA10" s="70"/>
      <c r="CB10" s="70"/>
      <c r="CC10" s="70"/>
      <c r="CD10" s="71"/>
      <c r="CE10" s="70"/>
      <c r="CF10" s="70"/>
      <c r="CG10" s="70"/>
      <c r="CH10" s="70"/>
      <c r="CI10" s="71"/>
      <c r="CJ10" s="70"/>
      <c r="CK10" s="70"/>
      <c r="CL10" s="70"/>
      <c r="CM10" s="70"/>
      <c r="CN10" s="71"/>
    </row>
    <row r="11">
      <c r="A11" s="65">
        <v>46025.0</v>
      </c>
      <c r="B11" s="66" t="s">
        <v>122</v>
      </c>
      <c r="C11" s="70"/>
      <c r="D11" s="70"/>
      <c r="E11" s="70"/>
      <c r="F11" s="70"/>
      <c r="G11" s="71"/>
      <c r="H11" s="69"/>
      <c r="I11" s="70"/>
      <c r="J11" s="70"/>
      <c r="K11" s="70"/>
      <c r="L11" s="71"/>
      <c r="M11" s="103"/>
      <c r="N11" s="104"/>
      <c r="O11" s="104"/>
      <c r="P11" s="104"/>
      <c r="Q11" s="105"/>
      <c r="R11" s="69"/>
      <c r="S11" s="70"/>
      <c r="T11" s="70"/>
      <c r="U11" s="70"/>
      <c r="V11" s="71"/>
      <c r="W11" s="70"/>
      <c r="X11" s="70"/>
      <c r="Y11" s="70"/>
      <c r="Z11" s="70"/>
      <c r="AA11" s="71"/>
      <c r="AB11" s="69"/>
      <c r="AC11" s="70"/>
      <c r="AD11" s="70"/>
      <c r="AE11" s="70"/>
      <c r="AF11" s="71"/>
      <c r="AG11" s="70"/>
      <c r="AH11" s="70"/>
      <c r="AI11" s="70"/>
      <c r="AJ11" s="70"/>
      <c r="AK11" s="71"/>
      <c r="AL11" s="70"/>
      <c r="AM11" s="70"/>
      <c r="AN11" s="70"/>
      <c r="AO11" s="70"/>
      <c r="AP11" s="71"/>
      <c r="AQ11" s="70"/>
      <c r="AR11" s="70"/>
      <c r="AS11" s="70"/>
      <c r="AT11" s="70"/>
      <c r="AU11" s="71"/>
      <c r="AV11" s="70"/>
      <c r="AW11" s="70"/>
      <c r="AX11" s="70"/>
      <c r="AY11" s="70"/>
      <c r="AZ11" s="71"/>
      <c r="BA11" s="70"/>
      <c r="BB11" s="70"/>
      <c r="BC11" s="70"/>
      <c r="BD11" s="70"/>
      <c r="BE11" s="71"/>
      <c r="BF11" s="70"/>
      <c r="BG11" s="70"/>
      <c r="BH11" s="70"/>
      <c r="BI11" s="70"/>
      <c r="BJ11" s="71"/>
      <c r="BK11" s="70"/>
      <c r="BL11" s="70"/>
      <c r="BM11" s="70"/>
      <c r="BN11" s="70"/>
      <c r="BO11" s="71"/>
      <c r="BP11" s="70"/>
      <c r="BQ11" s="70"/>
      <c r="BR11" s="70"/>
      <c r="BS11" s="70"/>
      <c r="BT11" s="71"/>
      <c r="BU11" s="70"/>
      <c r="BV11" s="70"/>
      <c r="BW11" s="70"/>
      <c r="BX11" s="70"/>
      <c r="BY11" s="71"/>
      <c r="BZ11" s="70"/>
      <c r="CA11" s="70"/>
      <c r="CB11" s="70"/>
      <c r="CC11" s="70"/>
      <c r="CD11" s="71"/>
      <c r="CE11" s="70"/>
      <c r="CF11" s="70"/>
      <c r="CG11" s="70"/>
      <c r="CH11" s="70"/>
      <c r="CI11" s="71"/>
      <c r="CJ11" s="70"/>
      <c r="CK11" s="70"/>
      <c r="CL11" s="70"/>
      <c r="CM11" s="70"/>
      <c r="CN11" s="71"/>
    </row>
    <row r="12">
      <c r="A12" s="72">
        <v>46056.0</v>
      </c>
      <c r="B12" s="66" t="s">
        <v>123</v>
      </c>
      <c r="C12" s="70"/>
      <c r="D12" s="70"/>
      <c r="E12" s="70"/>
      <c r="F12" s="70"/>
      <c r="G12" s="71"/>
      <c r="H12" s="69"/>
      <c r="I12" s="70"/>
      <c r="J12" s="70"/>
      <c r="K12" s="70"/>
      <c r="L12" s="71"/>
      <c r="M12" s="70"/>
      <c r="N12" s="70"/>
      <c r="O12" s="70"/>
      <c r="P12" s="70"/>
      <c r="Q12" s="71"/>
      <c r="R12" s="104"/>
      <c r="S12" s="104"/>
      <c r="T12" s="104"/>
      <c r="U12" s="104"/>
      <c r="V12" s="105"/>
      <c r="W12" s="69"/>
      <c r="X12" s="70"/>
      <c r="Y12" s="70"/>
      <c r="Z12" s="70"/>
      <c r="AA12" s="71"/>
      <c r="AB12" s="69"/>
      <c r="AC12" s="70"/>
      <c r="AD12" s="70"/>
      <c r="AE12" s="70"/>
      <c r="AF12" s="71"/>
      <c r="AG12" s="70"/>
      <c r="AH12" s="70"/>
      <c r="AI12" s="70"/>
      <c r="AJ12" s="70"/>
      <c r="AK12" s="71"/>
      <c r="AL12" s="70"/>
      <c r="AM12" s="70"/>
      <c r="AN12" s="70"/>
      <c r="AO12" s="70"/>
      <c r="AP12" s="71"/>
      <c r="AQ12" s="70"/>
      <c r="AR12" s="70"/>
      <c r="AS12" s="70"/>
      <c r="AT12" s="70"/>
      <c r="AU12" s="71"/>
      <c r="AV12" s="70"/>
      <c r="AW12" s="70"/>
      <c r="AX12" s="70"/>
      <c r="AY12" s="70"/>
      <c r="AZ12" s="71"/>
      <c r="BA12" s="70"/>
      <c r="BB12" s="70"/>
      <c r="BC12" s="70"/>
      <c r="BD12" s="70"/>
      <c r="BE12" s="71"/>
      <c r="BF12" s="70"/>
      <c r="BG12" s="70"/>
      <c r="BH12" s="70"/>
      <c r="BI12" s="70"/>
      <c r="BJ12" s="71"/>
      <c r="BK12" s="70"/>
      <c r="BL12" s="70"/>
      <c r="BM12" s="70"/>
      <c r="BN12" s="70"/>
      <c r="BO12" s="71"/>
      <c r="BP12" s="70"/>
      <c r="BQ12" s="70"/>
      <c r="BR12" s="70"/>
      <c r="BS12" s="70"/>
      <c r="BT12" s="71"/>
      <c r="BU12" s="70"/>
      <c r="BV12" s="70"/>
      <c r="BW12" s="70"/>
      <c r="BX12" s="70"/>
      <c r="BY12" s="71"/>
      <c r="BZ12" s="70"/>
      <c r="CA12" s="70"/>
      <c r="CB12" s="70"/>
      <c r="CC12" s="70"/>
      <c r="CD12" s="71"/>
      <c r="CE12" s="70"/>
      <c r="CF12" s="70"/>
      <c r="CG12" s="70"/>
      <c r="CH12" s="70"/>
      <c r="CI12" s="71"/>
      <c r="CJ12" s="70"/>
      <c r="CK12" s="70"/>
      <c r="CL12" s="70"/>
      <c r="CM12" s="70"/>
      <c r="CN12" s="71"/>
    </row>
    <row r="13">
      <c r="A13" s="72">
        <v>46084.0</v>
      </c>
      <c r="B13" s="66" t="s">
        <v>124</v>
      </c>
      <c r="C13" s="70"/>
      <c r="D13" s="70"/>
      <c r="E13" s="70"/>
      <c r="F13" s="70"/>
      <c r="G13" s="71"/>
      <c r="H13" s="69"/>
      <c r="I13" s="70"/>
      <c r="J13" s="70"/>
      <c r="K13" s="70"/>
      <c r="L13" s="71"/>
      <c r="M13" s="69"/>
      <c r="N13" s="70"/>
      <c r="O13" s="70"/>
      <c r="P13" s="70"/>
      <c r="Q13" s="71"/>
      <c r="R13" s="69"/>
      <c r="S13" s="70"/>
      <c r="T13" s="70"/>
      <c r="U13" s="70"/>
      <c r="V13" s="71"/>
      <c r="W13" s="104"/>
      <c r="X13" s="104"/>
      <c r="Y13" s="104"/>
      <c r="Z13" s="104"/>
      <c r="AA13" s="105"/>
      <c r="AB13" s="69"/>
      <c r="AC13" s="70"/>
      <c r="AD13" s="70"/>
      <c r="AE13" s="70"/>
      <c r="AF13" s="71"/>
      <c r="AG13" s="70"/>
      <c r="AH13" s="70"/>
      <c r="AI13" s="70"/>
      <c r="AJ13" s="70"/>
      <c r="AK13" s="71"/>
      <c r="AL13" s="70"/>
      <c r="AM13" s="70"/>
      <c r="AN13" s="70"/>
      <c r="AO13" s="70"/>
      <c r="AP13" s="71"/>
      <c r="AQ13" s="70"/>
      <c r="AR13" s="70"/>
      <c r="AS13" s="70"/>
      <c r="AT13" s="70"/>
      <c r="AU13" s="71"/>
      <c r="AV13" s="70"/>
      <c r="AW13" s="70"/>
      <c r="AX13" s="70"/>
      <c r="AY13" s="70"/>
      <c r="AZ13" s="71"/>
      <c r="BA13" s="70"/>
      <c r="BB13" s="70"/>
      <c r="BC13" s="70"/>
      <c r="BD13" s="70"/>
      <c r="BE13" s="71"/>
      <c r="BF13" s="70"/>
      <c r="BG13" s="70"/>
      <c r="BH13" s="70"/>
      <c r="BI13" s="70"/>
      <c r="BJ13" s="71"/>
      <c r="BK13" s="70"/>
      <c r="BL13" s="70"/>
      <c r="BM13" s="70"/>
      <c r="BN13" s="70"/>
      <c r="BO13" s="71"/>
      <c r="BP13" s="70"/>
      <c r="BQ13" s="70"/>
      <c r="BR13" s="70"/>
      <c r="BS13" s="70"/>
      <c r="BT13" s="71"/>
      <c r="BU13" s="70"/>
      <c r="BV13" s="70"/>
      <c r="BW13" s="70"/>
      <c r="BX13" s="70"/>
      <c r="BY13" s="71"/>
      <c r="BZ13" s="70"/>
      <c r="CA13" s="70"/>
      <c r="CB13" s="70"/>
      <c r="CC13" s="70"/>
      <c r="CD13" s="71"/>
      <c r="CE13" s="70"/>
      <c r="CF13" s="70"/>
      <c r="CG13" s="70"/>
      <c r="CH13" s="70"/>
      <c r="CI13" s="71"/>
      <c r="CJ13" s="70"/>
      <c r="CK13" s="70"/>
      <c r="CL13" s="70"/>
      <c r="CM13" s="70"/>
      <c r="CN13" s="71"/>
    </row>
    <row r="14">
      <c r="A14" s="96">
        <v>46115.0</v>
      </c>
      <c r="B14" s="99" t="s">
        <v>125</v>
      </c>
      <c r="C14" s="70"/>
      <c r="D14" s="70"/>
      <c r="E14" s="70"/>
      <c r="F14" s="70"/>
      <c r="G14" s="71"/>
      <c r="H14" s="69"/>
      <c r="I14" s="70"/>
      <c r="J14" s="70"/>
      <c r="K14" s="70"/>
      <c r="L14" s="71"/>
      <c r="M14" s="69"/>
      <c r="N14" s="70"/>
      <c r="O14" s="70"/>
      <c r="P14" s="70"/>
      <c r="Q14" s="71"/>
      <c r="R14" s="69"/>
      <c r="S14" s="70"/>
      <c r="T14" s="70"/>
      <c r="U14" s="70"/>
      <c r="V14" s="71"/>
      <c r="W14" s="69"/>
      <c r="X14" s="70"/>
      <c r="Y14" s="70"/>
      <c r="Z14" s="70"/>
      <c r="AA14" s="71"/>
      <c r="AB14" s="103"/>
      <c r="AC14" s="104"/>
      <c r="AD14" s="104"/>
      <c r="AE14" s="104"/>
      <c r="AF14" s="105"/>
      <c r="AG14" s="70"/>
      <c r="AH14" s="70"/>
      <c r="AI14" s="70"/>
      <c r="AJ14" s="70"/>
      <c r="AK14" s="71"/>
      <c r="AL14" s="70"/>
      <c r="AM14" s="70"/>
      <c r="AN14" s="70"/>
      <c r="AO14" s="70"/>
      <c r="AP14" s="71"/>
      <c r="AQ14" s="70"/>
      <c r="AR14" s="70"/>
      <c r="AS14" s="70"/>
      <c r="AT14" s="70"/>
      <c r="AU14" s="71"/>
      <c r="AV14" s="70"/>
      <c r="AW14" s="70"/>
      <c r="AX14" s="70"/>
      <c r="AY14" s="70"/>
      <c r="AZ14" s="71"/>
      <c r="BA14" s="70"/>
      <c r="BB14" s="70"/>
      <c r="BC14" s="70"/>
      <c r="BD14" s="70"/>
      <c r="BE14" s="71"/>
      <c r="BF14" s="70"/>
      <c r="BG14" s="70"/>
      <c r="BH14" s="70"/>
      <c r="BI14" s="70"/>
      <c r="BJ14" s="71"/>
      <c r="BK14" s="70"/>
      <c r="BL14" s="70"/>
      <c r="BM14" s="70"/>
      <c r="BN14" s="70"/>
      <c r="BO14" s="71"/>
      <c r="BP14" s="70"/>
      <c r="BQ14" s="70"/>
      <c r="BR14" s="70"/>
      <c r="BS14" s="70"/>
      <c r="BT14" s="71"/>
      <c r="BU14" s="70"/>
      <c r="BV14" s="70"/>
      <c r="BW14" s="70"/>
      <c r="BX14" s="70"/>
      <c r="BY14" s="71"/>
      <c r="BZ14" s="70"/>
      <c r="CA14" s="70"/>
      <c r="CB14" s="70"/>
      <c r="CC14" s="70"/>
      <c r="CD14" s="71"/>
      <c r="CE14" s="70"/>
      <c r="CF14" s="70"/>
      <c r="CG14" s="70"/>
      <c r="CH14" s="70"/>
      <c r="CI14" s="71"/>
      <c r="CJ14" s="70"/>
      <c r="CK14" s="70"/>
      <c r="CL14" s="70"/>
      <c r="CM14" s="70"/>
      <c r="CN14" s="71"/>
    </row>
    <row r="15">
      <c r="A15" s="72">
        <v>46145.0</v>
      </c>
      <c r="B15" s="66" t="s">
        <v>126</v>
      </c>
      <c r="C15" s="70"/>
      <c r="D15" s="70"/>
      <c r="E15" s="70"/>
      <c r="F15" s="70"/>
      <c r="G15" s="71"/>
      <c r="H15" s="69"/>
      <c r="I15" s="70"/>
      <c r="J15" s="70"/>
      <c r="K15" s="70"/>
      <c r="L15" s="71"/>
      <c r="M15" s="69"/>
      <c r="N15" s="70"/>
      <c r="O15" s="70"/>
      <c r="P15" s="70"/>
      <c r="Q15" s="71"/>
      <c r="R15" s="69"/>
      <c r="S15" s="70"/>
      <c r="T15" s="70"/>
      <c r="U15" s="70"/>
      <c r="V15" s="71"/>
      <c r="W15" s="69"/>
      <c r="X15" s="70"/>
      <c r="Y15" s="70"/>
      <c r="Z15" s="70"/>
      <c r="AA15" s="71"/>
      <c r="AB15" s="69"/>
      <c r="AC15" s="70"/>
      <c r="AD15" s="70"/>
      <c r="AE15" s="70"/>
      <c r="AF15" s="71"/>
      <c r="AG15" s="104"/>
      <c r="AH15" s="104"/>
      <c r="AI15" s="104"/>
      <c r="AJ15" s="104"/>
      <c r="AK15" s="105"/>
      <c r="AL15" s="70"/>
      <c r="AM15" s="70"/>
      <c r="AN15" s="70"/>
      <c r="AO15" s="70"/>
      <c r="AP15" s="71"/>
      <c r="AQ15" s="70"/>
      <c r="AR15" s="70"/>
      <c r="AS15" s="70"/>
      <c r="AT15" s="70"/>
      <c r="AU15" s="71"/>
      <c r="AV15" s="70"/>
      <c r="AW15" s="70"/>
      <c r="AX15" s="70"/>
      <c r="AY15" s="70"/>
      <c r="AZ15" s="71"/>
      <c r="BA15" s="70"/>
      <c r="BB15" s="70"/>
      <c r="BC15" s="70"/>
      <c r="BD15" s="70"/>
      <c r="BE15" s="71"/>
      <c r="BF15" s="70"/>
      <c r="BG15" s="70"/>
      <c r="BH15" s="70"/>
      <c r="BI15" s="70"/>
      <c r="BJ15" s="71"/>
      <c r="BK15" s="70"/>
      <c r="BL15" s="70"/>
      <c r="BM15" s="70"/>
      <c r="BN15" s="70"/>
      <c r="BO15" s="71"/>
      <c r="BP15" s="70"/>
      <c r="BQ15" s="70"/>
      <c r="BR15" s="70"/>
      <c r="BS15" s="70"/>
      <c r="BT15" s="71"/>
      <c r="BU15" s="70"/>
      <c r="BV15" s="70"/>
      <c r="BW15" s="70"/>
      <c r="BX15" s="70"/>
      <c r="BY15" s="71"/>
      <c r="BZ15" s="70"/>
      <c r="CA15" s="70"/>
      <c r="CB15" s="70"/>
      <c r="CC15" s="70"/>
      <c r="CD15" s="71"/>
      <c r="CE15" s="70"/>
      <c r="CF15" s="70"/>
      <c r="CG15" s="70"/>
      <c r="CH15" s="70"/>
      <c r="CI15" s="71"/>
      <c r="CJ15" s="70"/>
      <c r="CK15" s="70"/>
      <c r="CL15" s="70"/>
      <c r="CM15" s="70"/>
      <c r="CN15" s="71"/>
    </row>
    <row r="16">
      <c r="A16" s="72">
        <v>46176.0</v>
      </c>
      <c r="B16" s="66" t="s">
        <v>127</v>
      </c>
      <c r="C16" s="70"/>
      <c r="D16" s="70"/>
      <c r="E16" s="70"/>
      <c r="F16" s="70"/>
      <c r="G16" s="71"/>
      <c r="H16" s="69"/>
      <c r="I16" s="70"/>
      <c r="J16" s="70"/>
      <c r="K16" s="70"/>
      <c r="L16" s="71"/>
      <c r="M16" s="69"/>
      <c r="N16" s="70"/>
      <c r="O16" s="70"/>
      <c r="P16" s="70"/>
      <c r="Q16" s="71"/>
      <c r="R16" s="69"/>
      <c r="S16" s="70"/>
      <c r="T16" s="70"/>
      <c r="U16" s="70"/>
      <c r="V16" s="71"/>
      <c r="W16" s="69"/>
      <c r="X16" s="70"/>
      <c r="Y16" s="70"/>
      <c r="Z16" s="70"/>
      <c r="AA16" s="71"/>
      <c r="AB16" s="69"/>
      <c r="AC16" s="70"/>
      <c r="AD16" s="70"/>
      <c r="AE16" s="70"/>
      <c r="AF16" s="71"/>
      <c r="AG16" s="70"/>
      <c r="AH16" s="70"/>
      <c r="AI16" s="70"/>
      <c r="AJ16" s="70"/>
      <c r="AK16" s="71"/>
      <c r="AL16" s="104"/>
      <c r="AM16" s="104"/>
      <c r="AN16" s="104"/>
      <c r="AO16" s="104"/>
      <c r="AP16" s="105"/>
      <c r="AQ16" s="70"/>
      <c r="AR16" s="70"/>
      <c r="AS16" s="70"/>
      <c r="AT16" s="70"/>
      <c r="AU16" s="71"/>
      <c r="AV16" s="70"/>
      <c r="AW16" s="70"/>
      <c r="AX16" s="70"/>
      <c r="AY16" s="70"/>
      <c r="AZ16" s="71"/>
      <c r="BA16" s="70"/>
      <c r="BB16" s="70"/>
      <c r="BC16" s="70"/>
      <c r="BD16" s="70"/>
      <c r="BE16" s="71"/>
      <c r="BF16" s="70"/>
      <c r="BG16" s="70"/>
      <c r="BH16" s="70"/>
      <c r="BI16" s="70"/>
      <c r="BJ16" s="71"/>
      <c r="BK16" s="70"/>
      <c r="BL16" s="70"/>
      <c r="BM16" s="70"/>
      <c r="BN16" s="70"/>
      <c r="BO16" s="71"/>
      <c r="BP16" s="70"/>
      <c r="BQ16" s="70"/>
      <c r="BR16" s="70"/>
      <c r="BS16" s="70"/>
      <c r="BT16" s="71"/>
      <c r="BU16" s="70"/>
      <c r="BV16" s="70"/>
      <c r="BW16" s="70"/>
      <c r="BX16" s="70"/>
      <c r="BY16" s="71"/>
      <c r="BZ16" s="70"/>
      <c r="CA16" s="70"/>
      <c r="CB16" s="70"/>
      <c r="CC16" s="70"/>
      <c r="CD16" s="71"/>
      <c r="CE16" s="70"/>
      <c r="CF16" s="70"/>
      <c r="CG16" s="70"/>
      <c r="CH16" s="70"/>
      <c r="CI16" s="71"/>
      <c r="CJ16" s="70"/>
      <c r="CK16" s="70"/>
      <c r="CL16" s="70"/>
      <c r="CM16" s="70"/>
      <c r="CN16" s="71"/>
    </row>
    <row r="17">
      <c r="A17" s="72">
        <v>46206.0</v>
      </c>
      <c r="B17" s="66" t="s">
        <v>128</v>
      </c>
      <c r="C17" s="70"/>
      <c r="D17" s="70"/>
      <c r="E17" s="70"/>
      <c r="F17" s="70"/>
      <c r="G17" s="71"/>
      <c r="H17" s="69"/>
      <c r="I17" s="70"/>
      <c r="J17" s="70"/>
      <c r="K17" s="70"/>
      <c r="L17" s="71"/>
      <c r="M17" s="69"/>
      <c r="N17" s="70"/>
      <c r="O17" s="70"/>
      <c r="P17" s="70"/>
      <c r="Q17" s="71"/>
      <c r="R17" s="69"/>
      <c r="S17" s="70"/>
      <c r="T17" s="70"/>
      <c r="U17" s="70"/>
      <c r="V17" s="71"/>
      <c r="W17" s="69"/>
      <c r="X17" s="70"/>
      <c r="Y17" s="70"/>
      <c r="Z17" s="70"/>
      <c r="AA17" s="71"/>
      <c r="AB17" s="69"/>
      <c r="AC17" s="70"/>
      <c r="AD17" s="70"/>
      <c r="AE17" s="70"/>
      <c r="AF17" s="71"/>
      <c r="AG17" s="70"/>
      <c r="AH17" s="70"/>
      <c r="AI17" s="70"/>
      <c r="AJ17" s="70"/>
      <c r="AK17" s="71"/>
      <c r="AL17" s="104"/>
      <c r="AM17" s="104"/>
      <c r="AN17" s="104"/>
      <c r="AO17" s="104"/>
      <c r="AP17" s="105"/>
      <c r="AQ17" s="104"/>
      <c r="AR17" s="104"/>
      <c r="AS17" s="104"/>
      <c r="AT17" s="104"/>
      <c r="AU17" s="105"/>
      <c r="AV17" s="70"/>
      <c r="AW17" s="70"/>
      <c r="AX17" s="70"/>
      <c r="AY17" s="70"/>
      <c r="AZ17" s="110"/>
      <c r="BA17" s="70"/>
      <c r="BB17" s="70"/>
      <c r="BC17" s="70"/>
      <c r="BD17" s="70"/>
      <c r="BE17" s="71"/>
      <c r="BF17" s="70"/>
      <c r="BG17" s="70"/>
      <c r="BH17" s="70"/>
      <c r="BI17" s="70"/>
      <c r="BJ17" s="71"/>
      <c r="BK17" s="70"/>
      <c r="BL17" s="70"/>
      <c r="BM17" s="70"/>
      <c r="BN17" s="70"/>
      <c r="BO17" s="71"/>
      <c r="BP17" s="70"/>
      <c r="BQ17" s="70"/>
      <c r="BR17" s="70"/>
      <c r="BS17" s="70"/>
      <c r="BT17" s="71"/>
      <c r="BU17" s="70"/>
      <c r="BV17" s="70"/>
      <c r="BW17" s="70"/>
      <c r="BX17" s="70"/>
      <c r="BY17" s="71"/>
      <c r="BZ17" s="70"/>
      <c r="CA17" s="70"/>
      <c r="CB17" s="70"/>
      <c r="CC17" s="70"/>
      <c r="CD17" s="71"/>
      <c r="CE17" s="70"/>
      <c r="CF17" s="70"/>
      <c r="CG17" s="70"/>
      <c r="CH17" s="70"/>
      <c r="CI17" s="71"/>
      <c r="CJ17" s="70"/>
      <c r="CK17" s="70"/>
      <c r="CL17" s="70"/>
      <c r="CM17" s="70"/>
      <c r="CN17" s="71"/>
    </row>
    <row r="18">
      <c r="A18" s="72">
        <v>46237.0</v>
      </c>
      <c r="B18" s="66" t="s">
        <v>129</v>
      </c>
      <c r="C18" s="70"/>
      <c r="D18" s="70"/>
      <c r="E18" s="70"/>
      <c r="F18" s="70"/>
      <c r="G18" s="71"/>
      <c r="H18" s="69"/>
      <c r="I18" s="70"/>
      <c r="J18" s="70"/>
      <c r="K18" s="70"/>
      <c r="L18" s="71"/>
      <c r="M18" s="69"/>
      <c r="N18" s="70"/>
      <c r="O18" s="70"/>
      <c r="P18" s="70"/>
      <c r="Q18" s="71"/>
      <c r="R18" s="69"/>
      <c r="S18" s="70"/>
      <c r="T18" s="70"/>
      <c r="U18" s="70"/>
      <c r="V18" s="71"/>
      <c r="W18" s="69"/>
      <c r="X18" s="70"/>
      <c r="Y18" s="70"/>
      <c r="Z18" s="70"/>
      <c r="AA18" s="71"/>
      <c r="AB18" s="69"/>
      <c r="AC18" s="70"/>
      <c r="AD18" s="70"/>
      <c r="AE18" s="70"/>
      <c r="AF18" s="71"/>
      <c r="AG18" s="70"/>
      <c r="AH18" s="70"/>
      <c r="AI18" s="70"/>
      <c r="AJ18" s="70"/>
      <c r="AK18" s="71"/>
      <c r="AL18" s="70"/>
      <c r="AM18" s="70"/>
      <c r="AN18" s="70"/>
      <c r="AO18" s="70"/>
      <c r="AP18" s="71"/>
      <c r="AQ18" s="104"/>
      <c r="AR18" s="104"/>
      <c r="AS18" s="104"/>
      <c r="AT18" s="104"/>
      <c r="AU18" s="105"/>
      <c r="AV18" s="70"/>
      <c r="AW18" s="70"/>
      <c r="AX18" s="70"/>
      <c r="AY18" s="70"/>
      <c r="AZ18" s="71"/>
      <c r="BA18" s="70"/>
      <c r="BB18" s="70"/>
      <c r="BC18" s="70"/>
      <c r="BD18" s="70"/>
      <c r="BE18" s="71"/>
      <c r="BF18" s="70"/>
      <c r="BG18" s="70"/>
      <c r="BH18" s="70"/>
      <c r="BI18" s="70"/>
      <c r="BJ18" s="71"/>
      <c r="BK18" s="111"/>
      <c r="BL18" s="111"/>
      <c r="BM18" s="111"/>
      <c r="BN18" s="111"/>
      <c r="BO18" s="112"/>
      <c r="BP18" s="111"/>
      <c r="BQ18" s="111"/>
      <c r="BR18" s="111"/>
      <c r="BS18" s="111"/>
      <c r="BT18" s="112"/>
      <c r="BU18" s="111"/>
      <c r="BV18" s="111"/>
      <c r="BW18" s="111"/>
      <c r="BX18" s="111"/>
      <c r="BY18" s="112"/>
      <c r="BZ18" s="111"/>
      <c r="CA18" s="111"/>
      <c r="CB18" s="111"/>
      <c r="CC18" s="111"/>
      <c r="CD18" s="112"/>
      <c r="CE18" s="111"/>
      <c r="CF18" s="111"/>
      <c r="CG18" s="111"/>
      <c r="CH18" s="111"/>
      <c r="CI18" s="112"/>
      <c r="CJ18" s="111"/>
      <c r="CK18" s="111"/>
      <c r="CL18" s="111"/>
      <c r="CM18" s="111"/>
      <c r="CN18" s="112"/>
    </row>
    <row r="19">
      <c r="A19" s="74">
        <v>4.0</v>
      </c>
      <c r="B19" s="54" t="s">
        <v>130</v>
      </c>
      <c r="C19" s="70"/>
      <c r="D19" s="70"/>
      <c r="E19" s="70"/>
      <c r="F19" s="70"/>
      <c r="G19" s="71"/>
      <c r="H19" s="69"/>
      <c r="I19" s="70"/>
      <c r="J19" s="70"/>
      <c r="K19" s="70"/>
      <c r="L19" s="71"/>
      <c r="M19" s="69"/>
      <c r="N19" s="70"/>
      <c r="O19" s="70"/>
      <c r="P19" s="70"/>
      <c r="Q19" s="71"/>
      <c r="R19" s="69"/>
      <c r="S19" s="70"/>
      <c r="T19" s="70"/>
      <c r="U19" s="70"/>
      <c r="V19" s="71"/>
      <c r="W19" s="69"/>
      <c r="X19" s="70"/>
      <c r="Y19" s="70"/>
      <c r="Z19" s="70"/>
      <c r="AA19" s="71"/>
      <c r="AB19" s="69"/>
      <c r="AC19" s="70"/>
      <c r="AD19" s="70"/>
      <c r="AE19" s="70"/>
      <c r="AF19" s="71"/>
      <c r="AG19" s="70"/>
      <c r="AH19" s="70"/>
      <c r="AI19" s="70"/>
      <c r="AJ19" s="70"/>
      <c r="AK19" s="71"/>
      <c r="AL19" s="70"/>
      <c r="AM19" s="70"/>
      <c r="AN19" s="70"/>
      <c r="AO19" s="70"/>
      <c r="AP19" s="71"/>
      <c r="AQ19" s="113"/>
      <c r="AR19" s="113"/>
      <c r="AS19" s="113"/>
      <c r="AT19" s="113"/>
      <c r="AU19" s="114"/>
      <c r="AV19" s="70"/>
      <c r="AW19" s="70"/>
      <c r="AX19" s="70"/>
      <c r="AY19" s="70"/>
      <c r="AZ19" s="71"/>
      <c r="BA19" s="70"/>
      <c r="BB19" s="70"/>
      <c r="BC19" s="70"/>
      <c r="BD19" s="70"/>
      <c r="BE19" s="71"/>
      <c r="BF19" s="70"/>
      <c r="BG19" s="70"/>
      <c r="BH19" s="70"/>
      <c r="BI19" s="70"/>
      <c r="BJ19" s="71"/>
      <c r="BK19" s="111"/>
      <c r="BL19" s="111"/>
      <c r="BM19" s="111"/>
      <c r="BN19" s="111"/>
      <c r="BO19" s="112"/>
      <c r="BP19" s="111"/>
      <c r="BQ19" s="111"/>
      <c r="BR19" s="111"/>
      <c r="BS19" s="111"/>
      <c r="BT19" s="112"/>
      <c r="BU19" s="111"/>
      <c r="BV19" s="111"/>
      <c r="BW19" s="111"/>
      <c r="BX19" s="111"/>
      <c r="BY19" s="112"/>
      <c r="BZ19" s="111"/>
      <c r="CA19" s="111"/>
      <c r="CB19" s="111"/>
      <c r="CC19" s="111"/>
      <c r="CD19" s="112"/>
      <c r="CE19" s="111"/>
      <c r="CF19" s="111"/>
      <c r="CG19" s="111"/>
      <c r="CH19" s="111"/>
      <c r="CI19" s="112"/>
      <c r="CJ19" s="111"/>
      <c r="CK19" s="111"/>
      <c r="CL19" s="111"/>
      <c r="CM19" s="111"/>
      <c r="CN19" s="112"/>
    </row>
    <row r="20">
      <c r="A20" s="65">
        <v>46026.0</v>
      </c>
      <c r="B20" s="66" t="s">
        <v>131</v>
      </c>
      <c r="C20" s="70"/>
      <c r="D20" s="70"/>
      <c r="E20" s="70"/>
      <c r="F20" s="70"/>
      <c r="G20" s="71"/>
      <c r="H20" s="69"/>
      <c r="I20" s="70"/>
      <c r="J20" s="70"/>
      <c r="K20" s="70"/>
      <c r="L20" s="71"/>
      <c r="M20" s="69"/>
      <c r="N20" s="70"/>
      <c r="O20" s="70"/>
      <c r="P20" s="70"/>
      <c r="Q20" s="71"/>
      <c r="R20" s="69"/>
      <c r="S20" s="70"/>
      <c r="T20" s="70"/>
      <c r="U20" s="70"/>
      <c r="V20" s="71"/>
      <c r="W20" s="69"/>
      <c r="X20" s="70"/>
      <c r="Y20" s="70"/>
      <c r="Z20" s="70"/>
      <c r="AA20" s="71"/>
      <c r="AB20" s="69"/>
      <c r="AC20" s="70"/>
      <c r="AD20" s="70"/>
      <c r="AE20" s="70"/>
      <c r="AF20" s="71"/>
      <c r="AG20" s="70"/>
      <c r="AH20" s="70"/>
      <c r="AI20" s="70"/>
      <c r="AJ20" s="70"/>
      <c r="AK20" s="71"/>
      <c r="AL20" s="70"/>
      <c r="AM20" s="70"/>
      <c r="AN20" s="70"/>
      <c r="AO20" s="70"/>
      <c r="AP20" s="71"/>
      <c r="AQ20" s="113"/>
      <c r="AR20" s="113"/>
      <c r="AS20" s="113"/>
      <c r="AT20" s="113"/>
      <c r="AU20" s="114"/>
      <c r="AV20" s="113"/>
      <c r="AW20" s="113"/>
      <c r="AX20" s="113"/>
      <c r="AY20" s="113"/>
      <c r="AZ20" s="114"/>
      <c r="BA20" s="70"/>
      <c r="BB20" s="70"/>
      <c r="BC20" s="70"/>
      <c r="BD20" s="70"/>
      <c r="BE20" s="71"/>
      <c r="BF20" s="70"/>
      <c r="BG20" s="70"/>
      <c r="BH20" s="70"/>
      <c r="BI20" s="70"/>
      <c r="BJ20" s="110"/>
      <c r="BK20" s="111"/>
      <c r="BL20" s="111"/>
      <c r="BM20" s="111"/>
      <c r="BN20" s="111"/>
      <c r="BO20" s="112"/>
      <c r="BP20" s="111"/>
      <c r="BQ20" s="111"/>
      <c r="BR20" s="111"/>
      <c r="BS20" s="111"/>
      <c r="BT20" s="112"/>
      <c r="BU20" s="111"/>
      <c r="BV20" s="111"/>
      <c r="BW20" s="111"/>
      <c r="BX20" s="111"/>
      <c r="BY20" s="112"/>
      <c r="BZ20" s="111"/>
      <c r="CA20" s="111"/>
      <c r="CB20" s="111"/>
      <c r="CC20" s="111"/>
      <c r="CD20" s="112"/>
      <c r="CE20" s="111"/>
      <c r="CF20" s="111"/>
      <c r="CG20" s="111"/>
      <c r="CH20" s="111"/>
      <c r="CI20" s="112"/>
      <c r="CJ20" s="111"/>
      <c r="CK20" s="111"/>
      <c r="CL20" s="111"/>
      <c r="CM20" s="111"/>
      <c r="CN20" s="112"/>
    </row>
    <row r="21">
      <c r="A21" s="72">
        <v>46057.0</v>
      </c>
      <c r="B21" s="115" t="s">
        <v>132</v>
      </c>
      <c r="C21" s="70"/>
      <c r="D21" s="70"/>
      <c r="E21" s="70"/>
      <c r="F21" s="70"/>
      <c r="G21" s="71"/>
      <c r="H21" s="69"/>
      <c r="I21" s="70"/>
      <c r="J21" s="70"/>
      <c r="K21" s="70"/>
      <c r="L21" s="71"/>
      <c r="M21" s="69"/>
      <c r="N21" s="70"/>
      <c r="O21" s="70"/>
      <c r="P21" s="70"/>
      <c r="Q21" s="71"/>
      <c r="R21" s="69"/>
      <c r="S21" s="70"/>
      <c r="T21" s="70"/>
      <c r="U21" s="70"/>
      <c r="V21" s="71"/>
      <c r="W21" s="69"/>
      <c r="X21" s="70"/>
      <c r="Y21" s="70"/>
      <c r="Z21" s="70"/>
      <c r="AA21" s="71"/>
      <c r="AB21" s="69"/>
      <c r="AC21" s="70"/>
      <c r="AD21" s="70"/>
      <c r="AE21" s="70"/>
      <c r="AF21" s="71"/>
      <c r="AG21" s="70"/>
      <c r="AH21" s="70"/>
      <c r="AI21" s="70"/>
      <c r="AJ21" s="70"/>
      <c r="AK21" s="71"/>
      <c r="AL21" s="70"/>
      <c r="AM21" s="70"/>
      <c r="AN21" s="70"/>
      <c r="AO21" s="70"/>
      <c r="AP21" s="71"/>
      <c r="AQ21" s="70"/>
      <c r="AR21" s="70"/>
      <c r="AS21" s="70"/>
      <c r="AT21" s="70"/>
      <c r="AU21" s="71"/>
      <c r="AV21" s="113"/>
      <c r="AW21" s="113"/>
      <c r="AX21" s="113"/>
      <c r="AY21" s="113"/>
      <c r="AZ21" s="114"/>
      <c r="BA21" s="70"/>
      <c r="BB21" s="70"/>
      <c r="BC21" s="70"/>
      <c r="BD21" s="70"/>
      <c r="BE21" s="71"/>
      <c r="BF21" s="70"/>
      <c r="BG21" s="70"/>
      <c r="BH21" s="70"/>
      <c r="BI21" s="70"/>
      <c r="BJ21" s="110"/>
      <c r="BK21" s="111"/>
      <c r="BL21" s="111"/>
      <c r="BM21" s="111"/>
      <c r="BN21" s="111"/>
      <c r="BO21" s="111"/>
      <c r="BP21" s="111"/>
      <c r="BQ21" s="111"/>
      <c r="BR21" s="111"/>
      <c r="BS21" s="111"/>
      <c r="BT21" s="111"/>
      <c r="BU21" s="111"/>
      <c r="BV21" s="111"/>
      <c r="BW21" s="111"/>
      <c r="BX21" s="111"/>
      <c r="BY21" s="112"/>
      <c r="BZ21" s="111"/>
      <c r="CA21" s="111"/>
      <c r="CB21" s="111"/>
      <c r="CC21" s="111"/>
      <c r="CD21" s="112"/>
      <c r="CE21" s="111"/>
      <c r="CF21" s="111"/>
      <c r="CG21" s="111"/>
      <c r="CH21" s="111"/>
      <c r="CI21" s="112"/>
      <c r="CJ21" s="111"/>
      <c r="CK21" s="111"/>
      <c r="CL21" s="111"/>
      <c r="CM21" s="111"/>
      <c r="CN21" s="112"/>
    </row>
    <row r="22">
      <c r="A22" s="96">
        <v>46085.0</v>
      </c>
      <c r="B22" s="99" t="s">
        <v>133</v>
      </c>
      <c r="C22" s="70"/>
      <c r="D22" s="70"/>
      <c r="E22" s="70"/>
      <c r="F22" s="70"/>
      <c r="G22" s="71"/>
      <c r="H22" s="69"/>
      <c r="I22" s="70"/>
      <c r="J22" s="70"/>
      <c r="K22" s="70"/>
      <c r="L22" s="71"/>
      <c r="M22" s="69"/>
      <c r="N22" s="70"/>
      <c r="O22" s="70"/>
      <c r="P22" s="70"/>
      <c r="Q22" s="71"/>
      <c r="R22" s="69"/>
      <c r="S22" s="70"/>
      <c r="T22" s="70"/>
      <c r="U22" s="70"/>
      <c r="V22" s="71"/>
      <c r="W22" s="69"/>
      <c r="X22" s="70"/>
      <c r="Y22" s="70"/>
      <c r="Z22" s="70"/>
      <c r="AA22" s="71"/>
      <c r="AB22" s="69"/>
      <c r="AC22" s="70"/>
      <c r="AD22" s="70"/>
      <c r="AE22" s="70"/>
      <c r="AF22" s="71"/>
      <c r="AG22" s="70"/>
      <c r="AH22" s="70"/>
      <c r="AI22" s="70"/>
      <c r="AJ22" s="70"/>
      <c r="AK22" s="71"/>
      <c r="AL22" s="70"/>
      <c r="AM22" s="70"/>
      <c r="AN22" s="70"/>
      <c r="AO22" s="70"/>
      <c r="AP22" s="71"/>
      <c r="AQ22" s="70"/>
      <c r="AR22" s="70"/>
      <c r="AS22" s="70"/>
      <c r="AT22" s="70"/>
      <c r="AU22" s="71"/>
      <c r="AV22" s="113"/>
      <c r="AW22" s="113"/>
      <c r="AX22" s="113"/>
      <c r="AY22" s="113"/>
      <c r="AZ22" s="114"/>
      <c r="BA22" s="113"/>
      <c r="BB22" s="113"/>
      <c r="BC22" s="113"/>
      <c r="BD22" s="113"/>
      <c r="BE22" s="114"/>
      <c r="BF22" s="70"/>
      <c r="BG22" s="70"/>
      <c r="BH22" s="70"/>
      <c r="BI22" s="70"/>
      <c r="BJ22" s="116"/>
      <c r="BK22" s="111"/>
      <c r="BL22" s="111"/>
      <c r="BM22" s="111"/>
      <c r="BN22" s="111"/>
      <c r="BO22" s="111"/>
      <c r="BP22" s="111"/>
      <c r="BQ22" s="111"/>
      <c r="BR22" s="111"/>
      <c r="BS22" s="111"/>
      <c r="BT22" s="111"/>
      <c r="BU22" s="111"/>
      <c r="BV22" s="111"/>
      <c r="BW22" s="111"/>
      <c r="BX22" s="111"/>
      <c r="BY22" s="112"/>
      <c r="BZ22" s="111"/>
      <c r="CA22" s="111"/>
      <c r="CB22" s="111"/>
      <c r="CC22" s="111"/>
      <c r="CD22" s="112"/>
      <c r="CE22" s="111"/>
      <c r="CF22" s="111"/>
      <c r="CG22" s="111"/>
      <c r="CH22" s="111"/>
      <c r="CI22" s="112"/>
      <c r="CJ22" s="111"/>
      <c r="CK22" s="111"/>
      <c r="CL22" s="111"/>
      <c r="CM22" s="111"/>
      <c r="CN22" s="112"/>
    </row>
    <row r="23">
      <c r="A23" s="117">
        <v>46116.0</v>
      </c>
      <c r="B23" s="118" t="s">
        <v>134</v>
      </c>
      <c r="C23" s="119"/>
      <c r="D23" s="119"/>
      <c r="E23" s="119"/>
      <c r="F23" s="119"/>
      <c r="G23" s="120"/>
      <c r="H23" s="119"/>
      <c r="I23" s="119"/>
      <c r="J23" s="119"/>
      <c r="K23" s="119"/>
      <c r="L23" s="120"/>
      <c r="M23" s="121"/>
      <c r="N23" s="119"/>
      <c r="O23" s="119"/>
      <c r="P23" s="119"/>
      <c r="Q23" s="120"/>
      <c r="R23" s="121"/>
      <c r="S23" s="119"/>
      <c r="T23" s="119"/>
      <c r="U23" s="119"/>
      <c r="V23" s="120"/>
      <c r="W23" s="121"/>
      <c r="X23" s="119"/>
      <c r="Y23" s="119"/>
      <c r="Z23" s="119"/>
      <c r="AA23" s="120"/>
      <c r="AB23" s="121"/>
      <c r="AC23" s="119"/>
      <c r="AD23" s="119"/>
      <c r="AE23" s="119"/>
      <c r="AF23" s="120"/>
      <c r="AG23" s="119"/>
      <c r="AH23" s="119"/>
      <c r="AI23" s="119"/>
      <c r="AJ23" s="119"/>
      <c r="AK23" s="120"/>
      <c r="AL23" s="119"/>
      <c r="AM23" s="119"/>
      <c r="AN23" s="119"/>
      <c r="AO23" s="119"/>
      <c r="AP23" s="120"/>
      <c r="AQ23" s="119"/>
      <c r="AR23" s="119"/>
      <c r="AS23" s="119"/>
      <c r="AT23" s="119"/>
      <c r="AU23" s="120"/>
      <c r="AV23" s="119"/>
      <c r="AW23" s="119"/>
      <c r="AX23" s="119"/>
      <c r="AY23" s="119"/>
      <c r="AZ23" s="120"/>
      <c r="BA23" s="119"/>
      <c r="BB23" s="119"/>
      <c r="BC23" s="119"/>
      <c r="BD23" s="119"/>
      <c r="BE23" s="120"/>
      <c r="BF23" s="122"/>
      <c r="BG23" s="122"/>
      <c r="BH23" s="122"/>
      <c r="BI23" s="122"/>
      <c r="BJ23" s="123"/>
      <c r="BK23" s="111"/>
      <c r="BL23" s="111"/>
      <c r="BM23" s="111"/>
      <c r="BN23" s="111"/>
      <c r="BO23" s="111"/>
      <c r="BP23" s="111"/>
      <c r="BQ23" s="111"/>
      <c r="BR23" s="111"/>
      <c r="BS23" s="111"/>
      <c r="BT23" s="111"/>
      <c r="BU23" s="111"/>
      <c r="BV23" s="111"/>
      <c r="BW23" s="111"/>
      <c r="BX23" s="111"/>
      <c r="BY23" s="112"/>
      <c r="BZ23" s="111"/>
      <c r="CA23" s="111"/>
      <c r="CB23" s="111"/>
      <c r="CC23" s="111"/>
      <c r="CD23" s="112"/>
      <c r="CE23" s="111"/>
      <c r="CF23" s="111"/>
      <c r="CG23" s="111"/>
      <c r="CH23" s="111"/>
      <c r="CI23" s="112"/>
      <c r="CJ23" s="111"/>
      <c r="CK23" s="111"/>
      <c r="CL23" s="111"/>
      <c r="CM23" s="111"/>
      <c r="CN23" s="112"/>
    </row>
    <row r="24">
      <c r="A24" s="124"/>
      <c r="B24" s="125"/>
      <c r="C24" s="70"/>
      <c r="D24" s="70"/>
      <c r="E24" s="70"/>
      <c r="F24" s="70"/>
      <c r="G24" s="71"/>
      <c r="H24" s="70"/>
      <c r="I24" s="70"/>
      <c r="J24" s="70"/>
      <c r="K24" s="70"/>
      <c r="L24" s="71"/>
      <c r="M24" s="70"/>
      <c r="N24" s="70"/>
      <c r="O24" s="70"/>
      <c r="P24" s="70"/>
      <c r="Q24" s="71"/>
      <c r="R24" s="70"/>
      <c r="S24" s="70"/>
      <c r="T24" s="70"/>
      <c r="U24" s="70"/>
      <c r="V24" s="71"/>
      <c r="W24" s="70"/>
      <c r="X24" s="70"/>
      <c r="Y24" s="70"/>
      <c r="Z24" s="70"/>
      <c r="AA24" s="71"/>
      <c r="AB24" s="70"/>
      <c r="AC24" s="70"/>
      <c r="AD24" s="70"/>
      <c r="AE24" s="70"/>
      <c r="AF24" s="71"/>
      <c r="AG24" s="70"/>
      <c r="AH24" s="70"/>
      <c r="AI24" s="70"/>
      <c r="AJ24" s="70"/>
      <c r="AK24" s="71"/>
      <c r="AL24" s="70"/>
      <c r="AM24" s="70"/>
      <c r="AN24" s="70"/>
      <c r="AO24" s="70"/>
      <c r="AP24" s="71"/>
      <c r="AQ24" s="70"/>
      <c r="AR24" s="70"/>
      <c r="AS24" s="70"/>
      <c r="AT24" s="70"/>
      <c r="AU24" s="71"/>
      <c r="AV24" s="70"/>
      <c r="AW24" s="70"/>
      <c r="AX24" s="70"/>
      <c r="AY24" s="70"/>
      <c r="AZ24" s="71"/>
      <c r="BA24" s="70"/>
      <c r="BB24" s="70"/>
      <c r="BC24" s="70"/>
      <c r="BD24" s="70"/>
      <c r="BE24" s="71"/>
      <c r="BF24" s="70"/>
      <c r="BG24" s="70"/>
      <c r="BH24" s="70"/>
      <c r="BI24" s="70"/>
      <c r="BJ24" s="70"/>
      <c r="BK24" s="111"/>
      <c r="BL24" s="111"/>
      <c r="BM24" s="111"/>
      <c r="BN24" s="111"/>
      <c r="BO24" s="111"/>
      <c r="BP24" s="111"/>
      <c r="BQ24" s="111"/>
      <c r="BR24" s="111"/>
      <c r="BS24" s="111"/>
      <c r="BT24" s="111"/>
      <c r="BU24" s="111"/>
      <c r="BV24" s="111"/>
      <c r="BW24" s="111"/>
      <c r="BX24" s="111"/>
      <c r="BY24" s="112"/>
      <c r="BZ24" s="111"/>
      <c r="CA24" s="111"/>
      <c r="CB24" s="111"/>
      <c r="CC24" s="111"/>
      <c r="CD24" s="112"/>
      <c r="CE24" s="111"/>
      <c r="CF24" s="111"/>
      <c r="CG24" s="111"/>
      <c r="CH24" s="111"/>
      <c r="CI24" s="112"/>
      <c r="CJ24" s="111"/>
      <c r="CK24" s="111"/>
      <c r="CL24" s="111"/>
      <c r="CM24" s="111"/>
      <c r="CN24" s="112"/>
    </row>
    <row r="25">
      <c r="A25" s="124"/>
      <c r="B25" s="125"/>
      <c r="C25" s="70"/>
      <c r="D25" s="70"/>
      <c r="E25" s="70"/>
      <c r="F25" s="70"/>
      <c r="G25" s="71"/>
      <c r="H25" s="70"/>
      <c r="I25" s="70"/>
      <c r="J25" s="70"/>
      <c r="K25" s="70"/>
      <c r="L25" s="71"/>
      <c r="M25" s="70"/>
      <c r="N25" s="70"/>
      <c r="O25" s="70"/>
      <c r="P25" s="70"/>
      <c r="Q25" s="71"/>
      <c r="R25" s="70"/>
      <c r="S25" s="70"/>
      <c r="T25" s="70"/>
      <c r="U25" s="70"/>
      <c r="V25" s="71"/>
      <c r="W25" s="70"/>
      <c r="X25" s="70"/>
      <c r="Y25" s="70"/>
      <c r="Z25" s="70"/>
      <c r="AA25" s="71"/>
      <c r="AB25" s="70"/>
      <c r="AC25" s="70"/>
      <c r="AD25" s="70"/>
      <c r="AE25" s="70"/>
      <c r="AF25" s="71"/>
      <c r="AG25" s="70"/>
      <c r="AH25" s="70"/>
      <c r="AI25" s="70"/>
      <c r="AJ25" s="70"/>
      <c r="AK25" s="71"/>
      <c r="AL25" s="70"/>
      <c r="AM25" s="70"/>
      <c r="AN25" s="70"/>
      <c r="AO25" s="70"/>
      <c r="AP25" s="71"/>
      <c r="AQ25" s="70"/>
      <c r="AR25" s="70"/>
      <c r="AS25" s="70"/>
      <c r="AT25" s="70"/>
      <c r="AU25" s="71"/>
      <c r="AV25" s="70"/>
      <c r="AW25" s="70"/>
      <c r="AX25" s="70"/>
      <c r="AY25" s="70"/>
      <c r="AZ25" s="71"/>
      <c r="BA25" s="70"/>
      <c r="BB25" s="70"/>
      <c r="BC25" s="70"/>
      <c r="BD25" s="70"/>
      <c r="BE25" s="71"/>
      <c r="BF25" s="70"/>
      <c r="BG25" s="70"/>
      <c r="BH25" s="70"/>
      <c r="BI25" s="70"/>
      <c r="BJ25" s="70"/>
      <c r="BK25" s="111"/>
      <c r="BL25" s="111"/>
      <c r="BM25" s="111"/>
      <c r="BN25" s="111"/>
      <c r="BO25" s="111"/>
      <c r="BP25" s="111"/>
      <c r="BQ25" s="111"/>
      <c r="BR25" s="111"/>
      <c r="BS25" s="111"/>
      <c r="BT25" s="111"/>
      <c r="BU25" s="111"/>
      <c r="BV25" s="111"/>
      <c r="BW25" s="111"/>
      <c r="BX25" s="111"/>
      <c r="BY25" s="112"/>
      <c r="BZ25" s="111"/>
      <c r="CA25" s="111"/>
      <c r="CB25" s="111"/>
      <c r="CC25" s="111"/>
      <c r="CD25" s="112"/>
      <c r="CE25" s="111"/>
      <c r="CF25" s="111"/>
      <c r="CG25" s="111"/>
      <c r="CH25" s="111"/>
      <c r="CI25" s="112"/>
      <c r="CJ25" s="111"/>
      <c r="CK25" s="111"/>
      <c r="CL25" s="111"/>
      <c r="CM25" s="111"/>
      <c r="CN25" s="112"/>
    </row>
    <row r="26">
      <c r="A26" s="126"/>
      <c r="B26" s="127"/>
      <c r="C26" s="128"/>
      <c r="D26" s="128"/>
      <c r="E26" s="128"/>
      <c r="F26" s="128"/>
      <c r="G26" s="129"/>
      <c r="H26" s="128"/>
      <c r="I26" s="128"/>
      <c r="J26" s="128"/>
      <c r="K26" s="128"/>
      <c r="L26" s="129"/>
      <c r="M26" s="128"/>
      <c r="N26" s="128"/>
      <c r="O26" s="128"/>
      <c r="P26" s="128"/>
      <c r="Q26" s="129"/>
      <c r="R26" s="128"/>
      <c r="S26" s="128"/>
      <c r="T26" s="128"/>
      <c r="U26" s="128"/>
      <c r="V26" s="129"/>
      <c r="W26" s="128"/>
      <c r="X26" s="128"/>
      <c r="Y26" s="128"/>
      <c r="Z26" s="128"/>
      <c r="AA26" s="129"/>
      <c r="AB26" s="128"/>
      <c r="AC26" s="128"/>
      <c r="AD26" s="128"/>
      <c r="AE26" s="128"/>
      <c r="AF26" s="129"/>
      <c r="AG26" s="128"/>
      <c r="AH26" s="128"/>
      <c r="AI26" s="128"/>
      <c r="AJ26" s="128"/>
      <c r="AK26" s="129"/>
      <c r="AL26" s="128"/>
      <c r="AM26" s="128"/>
      <c r="AN26" s="128"/>
      <c r="AO26" s="128"/>
      <c r="AP26" s="129"/>
      <c r="AQ26" s="128"/>
      <c r="AR26" s="128"/>
      <c r="AS26" s="128"/>
      <c r="AT26" s="128"/>
      <c r="AU26" s="129"/>
      <c r="AV26" s="128"/>
      <c r="AW26" s="70"/>
      <c r="AX26" s="128"/>
      <c r="AY26" s="128"/>
      <c r="AZ26" s="129"/>
      <c r="BA26" s="128"/>
      <c r="BB26" s="70"/>
      <c r="BC26" s="128"/>
      <c r="BD26" s="128"/>
      <c r="BE26" s="129"/>
      <c r="BF26" s="128"/>
      <c r="BG26" s="70"/>
      <c r="BH26" s="128"/>
      <c r="BI26" s="128"/>
      <c r="BJ26" s="70"/>
      <c r="BK26" s="111"/>
      <c r="BL26" s="111"/>
      <c r="BM26" s="111"/>
      <c r="BN26" s="111"/>
      <c r="BO26" s="111"/>
      <c r="BP26" s="111"/>
      <c r="BQ26" s="111"/>
      <c r="BR26" s="111"/>
      <c r="BS26" s="111"/>
      <c r="BT26" s="111"/>
      <c r="BU26" s="130"/>
      <c r="BV26" s="130"/>
      <c r="BW26" s="130"/>
      <c r="BX26" s="130"/>
      <c r="BY26" s="131"/>
      <c r="BZ26" s="130"/>
      <c r="CA26" s="130"/>
      <c r="CB26" s="130"/>
      <c r="CC26" s="130"/>
      <c r="CD26" s="131"/>
      <c r="CE26" s="130"/>
      <c r="CF26" s="130"/>
      <c r="CG26" s="130"/>
      <c r="CH26" s="111"/>
      <c r="CI26" s="131"/>
      <c r="CJ26" s="130"/>
      <c r="CK26" s="130"/>
      <c r="CL26" s="130"/>
      <c r="CM26" s="130"/>
      <c r="CN26" s="131"/>
    </row>
    <row r="27">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M27" s="132"/>
      <c r="CN27" s="132"/>
    </row>
  </sheetData>
  <mergeCells count="22">
    <mergeCell ref="R2:V2"/>
    <mergeCell ref="W2:AA2"/>
    <mergeCell ref="AB2:AF2"/>
    <mergeCell ref="AG2:AK2"/>
    <mergeCell ref="AL2:AP2"/>
    <mergeCell ref="AQ2:AU2"/>
    <mergeCell ref="AV2:AZ2"/>
    <mergeCell ref="BA2:BE2"/>
    <mergeCell ref="BF2:BJ2"/>
    <mergeCell ref="BK2:BO2"/>
    <mergeCell ref="BP2:BT2"/>
    <mergeCell ref="BU2:BY2"/>
    <mergeCell ref="BZ2:CD2"/>
    <mergeCell ref="CE2:CI2"/>
    <mergeCell ref="CJ2:CN2"/>
    <mergeCell ref="C1:Q1"/>
    <mergeCell ref="R1:AK1"/>
    <mergeCell ref="AL1:BE1"/>
    <mergeCell ref="BF1:BJ1"/>
    <mergeCell ref="C2:G2"/>
    <mergeCell ref="H2:L2"/>
    <mergeCell ref="M2:Q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C1" s="6"/>
      <c r="D1" s="6"/>
      <c r="E1" s="6"/>
      <c r="F1" s="6"/>
    </row>
    <row r="2">
      <c r="C2" s="11"/>
      <c r="D2" s="11"/>
      <c r="E2" s="14"/>
      <c r="F2" s="6"/>
    </row>
    <row r="3">
      <c r="B3" s="17" t="s">
        <v>10</v>
      </c>
      <c r="C3" s="19"/>
      <c r="D3" s="11"/>
      <c r="F3" s="6"/>
    </row>
    <row r="4">
      <c r="A4" s="23">
        <v>1.0</v>
      </c>
      <c r="B4" s="24" t="s">
        <v>14</v>
      </c>
      <c r="C4" s="27"/>
      <c r="D4" s="29"/>
      <c r="E4" s="29"/>
      <c r="F4" s="6"/>
      <c r="G4" s="31"/>
    </row>
    <row r="5">
      <c r="A5" s="23">
        <v>2.0</v>
      </c>
      <c r="B5" s="24" t="s">
        <v>22</v>
      </c>
      <c r="C5" s="27"/>
      <c r="D5" s="29"/>
      <c r="E5" s="29"/>
      <c r="F5" s="6"/>
      <c r="G5" s="31"/>
    </row>
    <row r="10" outlineLevel="1">
      <c r="A10" s="37" t="s">
        <v>32</v>
      </c>
      <c r="B10" s="38"/>
      <c r="C10" s="40" t="s">
        <v>44</v>
      </c>
      <c r="D10" s="41" t="s">
        <v>52</v>
      </c>
      <c r="E10" s="43"/>
      <c r="F10" s="43"/>
      <c r="G10" s="43"/>
      <c r="H10" s="43"/>
      <c r="I10" s="43"/>
      <c r="J10" s="43"/>
      <c r="K10" s="45"/>
    </row>
    <row r="11" outlineLevel="1">
      <c r="A11" s="46"/>
      <c r="B11" s="49" t="s">
        <v>61</v>
      </c>
      <c r="C11" s="51"/>
      <c r="D11" s="41" t="s">
        <v>67</v>
      </c>
      <c r="E11" s="45"/>
      <c r="F11" s="41" t="s">
        <v>69</v>
      </c>
      <c r="G11" s="45"/>
      <c r="H11" s="41" t="s">
        <v>72</v>
      </c>
      <c r="I11" s="45"/>
      <c r="J11" s="41" t="s">
        <v>13</v>
      </c>
      <c r="K11" s="45"/>
    </row>
    <row r="12" outlineLevel="1">
      <c r="A12" s="46"/>
      <c r="B12" s="55" t="str">
        <f>RUBRICA!A5</f>
        <v>1. Describe brevemente en qué consiste el Proyecto APT, justificando su relevancia para el campo laboral de su carrera.</v>
      </c>
      <c r="C12" s="60" t="s">
        <v>67</v>
      </c>
      <c r="D12" s="62" t="str">
        <f>IF($C12=CL,"X","")</f>
        <v>X</v>
      </c>
      <c r="E12" s="62">
        <f>IF(D12="X",100*0.1,"")</f>
        <v>10</v>
      </c>
      <c r="F12" s="63"/>
      <c r="G12" s="62"/>
      <c r="H12" s="62"/>
      <c r="I12" s="62" t="str">
        <f>IF(H12="X",30*0.1,"")</f>
        <v/>
      </c>
      <c r="J12" s="62" t="str">
        <f>IF($C12=NL,"X","")</f>
        <v/>
      </c>
      <c r="K12" s="62" t="str">
        <f t="shared" ref="K12:K21" si="1">IF($J12="X",0,"")</f>
        <v/>
      </c>
    </row>
    <row r="13" ht="26.25" customHeight="1" outlineLevel="1">
      <c r="A13" s="46"/>
      <c r="B13" s="55" t="str">
        <f>RUBRICA!A6</f>
        <v>2. Relaciona el Proyecto APT con las competencias del perfil de egreso de su Plan de Estudio.</v>
      </c>
      <c r="C13" s="60" t="s">
        <v>67</v>
      </c>
      <c r="D13" s="62" t="str">
        <f>IF($C13=CL,"X","")</f>
        <v>X</v>
      </c>
      <c r="E13" s="62">
        <f t="shared" ref="E13:E15" si="2">IF(D13="X",100*0.05,"")</f>
        <v>5</v>
      </c>
      <c r="F13" s="62"/>
      <c r="G13" s="62" t="str">
        <f t="shared" ref="G13:G15" si="3">IF(F13="X",60*0.05,"")</f>
        <v/>
      </c>
      <c r="H13" s="63"/>
      <c r="I13" s="62"/>
      <c r="J13" s="62" t="str">
        <f>IF($C13=NL,"X","")</f>
        <v/>
      </c>
      <c r="K13" s="62" t="str">
        <f t="shared" si="1"/>
        <v/>
      </c>
    </row>
    <row r="14" outlineLevel="1">
      <c r="A14" s="46"/>
      <c r="B14" s="55" t="str">
        <f>RUBRICA!A8</f>
        <v>4.  Argumenta por qué el proyecto es factible de realizarse en el marco de la asignatura. </v>
      </c>
      <c r="C14" s="60" t="s">
        <v>67</v>
      </c>
      <c r="D14" s="62" t="str">
        <f>IF($C14=CL,"X","")</f>
        <v>X</v>
      </c>
      <c r="E14" s="62">
        <f t="shared" si="2"/>
        <v>5</v>
      </c>
      <c r="F14" s="62"/>
      <c r="G14" s="62" t="str">
        <f t="shared" si="3"/>
        <v/>
      </c>
      <c r="H14" s="63"/>
      <c r="I14" s="62" t="str">
        <f t="shared" ref="I14:I15" si="4">IF(H14="X",30*0.05,"")</f>
        <v/>
      </c>
      <c r="J14" s="62" t="str">
        <f>IF($C14=NL,"X","")</f>
        <v/>
      </c>
      <c r="K14" s="62" t="str">
        <f t="shared" si="1"/>
        <v/>
      </c>
    </row>
    <row r="15" outlineLevel="1">
      <c r="A15" s="46"/>
      <c r="B15" s="55" t="str">
        <f>RUBRICA!A9</f>
        <v>5. Formula objetivos claros, concisos y coherentes con la disciplina y la situación a abordar. </v>
      </c>
      <c r="C15" s="60" t="s">
        <v>67</v>
      </c>
      <c r="D15" s="62" t="str">
        <f>IF($C15=CL,"X","")</f>
        <v>X</v>
      </c>
      <c r="E15" s="62">
        <f t="shared" si="2"/>
        <v>5</v>
      </c>
      <c r="F15" s="62"/>
      <c r="G15" s="62" t="str">
        <f t="shared" si="3"/>
        <v/>
      </c>
      <c r="H15" s="63"/>
      <c r="I15" s="62" t="str">
        <f t="shared" si="4"/>
        <v/>
      </c>
      <c r="J15" s="62" t="str">
        <f>IF($C15=NL,"X","")</f>
        <v/>
      </c>
      <c r="K15" s="62" t="str">
        <f t="shared" si="1"/>
        <v/>
      </c>
    </row>
    <row r="16" outlineLevel="1">
      <c r="A16" s="46"/>
      <c r="B16" s="55" t="str">
        <f>RUBRICA!A10</f>
        <v>6. Propone una metodología de trabajo que permite alcanzar los objetivos propuestos y es pertinente con los requerimientos disciplinares.</v>
      </c>
      <c r="C16" s="60" t="s">
        <v>67</v>
      </c>
      <c r="D16" s="62" t="str">
        <f>IF($C16=CL,"X","")</f>
        <v>X</v>
      </c>
      <c r="E16" s="62">
        <f t="shared" ref="E16:E17" si="5">IF(D16="X",100*0.1,"")</f>
        <v>10</v>
      </c>
      <c r="F16" s="63"/>
      <c r="G16" s="62" t="str">
        <f t="shared" ref="G16:G17" si="6">IF(F16="X",60*0.1,"")</f>
        <v/>
      </c>
      <c r="H16" s="62"/>
      <c r="I16" s="62" t="str">
        <f t="shared" ref="I16:I17" si="7">IF(H16="X",30*0.1,"")</f>
        <v/>
      </c>
      <c r="J16" s="62" t="str">
        <f>IF($C16=NL,"X","")</f>
        <v/>
      </c>
      <c r="K16" s="62" t="str">
        <f t="shared" si="1"/>
        <v/>
      </c>
    </row>
    <row r="17" outlineLevel="1">
      <c r="A17" s="46"/>
      <c r="B17" s="55" t="str">
        <f>RUBRICA!A11</f>
        <v>7. Establece un plan de trabajo para su proyecto APT considerando los recursos, duración, facilitadores y obstaculizadores en el desarrollo de las actividades. </v>
      </c>
      <c r="C17" s="60" t="s">
        <v>67</v>
      </c>
      <c r="D17" s="62" t="str">
        <f>IF($C17=CL,"X","")</f>
        <v>X</v>
      </c>
      <c r="E17" s="62">
        <f t="shared" si="5"/>
        <v>10</v>
      </c>
      <c r="F17" s="63"/>
      <c r="G17" s="62" t="str">
        <f t="shared" si="6"/>
        <v/>
      </c>
      <c r="H17" s="62"/>
      <c r="I17" s="62" t="str">
        <f t="shared" si="7"/>
        <v/>
      </c>
      <c r="J17" s="62" t="str">
        <f>IF($C17=NL,"X","")</f>
        <v/>
      </c>
      <c r="K17" s="62" t="str">
        <f t="shared" si="1"/>
        <v/>
      </c>
    </row>
    <row r="18" outlineLevel="1">
      <c r="A18" s="46"/>
      <c r="B18" s="55" t="str">
        <f>RUBRICA!A12</f>
        <v>8. Determina evidencias, justificando cómo estas dan cuenta del logro de las actividades del Proyecto APT.</v>
      </c>
      <c r="C18" s="60" t="s">
        <v>67</v>
      </c>
      <c r="D18" s="62" t="str">
        <f>IF($C18=CL,"X","")</f>
        <v>X</v>
      </c>
      <c r="E18" s="62">
        <f t="shared" ref="E18:E20" si="8">IF(D18="X",100*0.05,"")</f>
        <v>5</v>
      </c>
      <c r="F18" s="62"/>
      <c r="G18" s="62" t="str">
        <f t="shared" ref="G18:G20" si="9">IF(F18="X",60*0.05,"")</f>
        <v/>
      </c>
      <c r="H18" s="63"/>
      <c r="I18" s="62" t="str">
        <f t="shared" ref="I18:I20" si="10">IF(H18="X",30*0.05,"")</f>
        <v/>
      </c>
      <c r="J18" s="62" t="str">
        <f>IF($C18=NL,"X","")</f>
        <v/>
      </c>
      <c r="K18" s="62" t="str">
        <f t="shared" si="1"/>
        <v/>
      </c>
    </row>
    <row r="19" outlineLevel="1">
      <c r="A19" s="46"/>
      <c r="B19" s="55" t="str">
        <f>RUBRICA!A13</f>
        <v>9. Utiliza reglas de redacción, ortografía (literal, puntual, acentual) y las normas para citas y referencias. </v>
      </c>
      <c r="C19" s="60" t="s">
        <v>67</v>
      </c>
      <c r="D19" s="62" t="str">
        <f>IF($C19=CL,"X","")</f>
        <v>X</v>
      </c>
      <c r="E19" s="62">
        <f t="shared" si="8"/>
        <v>5</v>
      </c>
      <c r="F19" s="62"/>
      <c r="G19" s="62" t="str">
        <f t="shared" si="9"/>
        <v/>
      </c>
      <c r="H19" s="63"/>
      <c r="I19" s="62" t="str">
        <f t="shared" si="10"/>
        <v/>
      </c>
      <c r="J19" s="62" t="str">
        <f>IF($C19=NL,"X","")</f>
        <v/>
      </c>
      <c r="K19" s="62" t="str">
        <f t="shared" si="1"/>
        <v/>
      </c>
    </row>
    <row r="20" ht="22.5" customHeight="1" outlineLevel="1">
      <c r="A20" s="46"/>
      <c r="B20" s="55" t="str">
        <f>RUBRICA!A14</f>
        <v>10. Cumple completando el contenido del informe de presentación del proyecto de acuerdo con la plantilla entregada.</v>
      </c>
      <c r="C20" s="60" t="s">
        <v>67</v>
      </c>
      <c r="D20" s="62" t="str">
        <f>IF($C20=CL,"X","")</f>
        <v>X</v>
      </c>
      <c r="E20" s="62">
        <f t="shared" si="8"/>
        <v>5</v>
      </c>
      <c r="F20" s="62"/>
      <c r="G20" s="62" t="str">
        <f t="shared" si="9"/>
        <v/>
      </c>
      <c r="H20" s="63"/>
      <c r="I20" s="62" t="str">
        <f t="shared" si="10"/>
        <v/>
      </c>
      <c r="J20" s="62" t="str">
        <f>IF($C20=NL,"X","")</f>
        <v/>
      </c>
      <c r="K20" s="62" t="str">
        <f t="shared" si="1"/>
        <v/>
      </c>
    </row>
    <row r="21" ht="15.75" customHeight="1" outlineLevel="1">
      <c r="A21" s="46"/>
      <c r="B21" s="55" t="str">
        <f>RUBRICA!A16</f>
        <v>12. Desarrolla un plan de trabajo que permita del logro de los objetivos propuestos del proyecto de 
acuerdo a los tiempos para su desarrollo</v>
      </c>
      <c r="C21" s="60" t="s">
        <v>67</v>
      </c>
      <c r="D21" s="62" t="str">
        <f>IF($C21=CL,"X","")</f>
        <v>X</v>
      </c>
      <c r="E21" s="62">
        <f>IF(D21="X",100*0.1,"")</f>
        <v>10</v>
      </c>
      <c r="F21" s="63"/>
      <c r="G21" s="62" t="str">
        <f>IF(F21="X",60*0.1,"")</f>
        <v/>
      </c>
      <c r="H21" s="62" t="str">
        <f>IF($C21=ML,"X","")</f>
        <v/>
      </c>
      <c r="I21" s="62" t="str">
        <f>IF(H21="X",30*0.1,"")</f>
        <v/>
      </c>
      <c r="J21" s="62" t="str">
        <f>IF($C21=NL,"X","")</f>
        <v/>
      </c>
      <c r="K21" s="62" t="str">
        <f t="shared" si="1"/>
        <v/>
      </c>
    </row>
    <row r="22" ht="15.75" customHeight="1" outlineLevel="1">
      <c r="A22" s="51"/>
      <c r="B22" s="75" t="s">
        <v>0</v>
      </c>
      <c r="C22" s="76">
        <f>E22+G22+I22+K22</f>
        <v>70</v>
      </c>
      <c r="D22" s="77"/>
      <c r="E22" s="77">
        <f>SUM(E12:E21)</f>
        <v>70</v>
      </c>
      <c r="F22" s="77"/>
      <c r="G22" s="77">
        <f>SUM(G12:G21)</f>
        <v>0</v>
      </c>
      <c r="H22" s="77"/>
      <c r="I22" s="77">
        <f>SUM(I12:I21)</f>
        <v>0</v>
      </c>
      <c r="J22" s="77"/>
      <c r="K22" s="77">
        <f>SUM(K12:K21)</f>
        <v>0</v>
      </c>
    </row>
    <row r="23" ht="15.75" customHeight="1"/>
    <row r="24" ht="15.75" customHeight="1"/>
    <row r="25" ht="15.75" customHeight="1">
      <c r="A25" s="82" t="s">
        <v>112</v>
      </c>
      <c r="B25" s="85" t="s">
        <v>113</v>
      </c>
      <c r="C25" s="93" t="str">
        <f>$B$4</f>
        <v>Daniela Cuevas Chávez</v>
      </c>
      <c r="D25" s="94"/>
      <c r="E25" s="94"/>
      <c r="F25" s="94"/>
      <c r="G25" s="94"/>
      <c r="H25" s="94"/>
      <c r="I25" s="94"/>
      <c r="J25" s="94"/>
      <c r="K25" s="95"/>
    </row>
    <row r="26" ht="15.75" customHeight="1">
      <c r="A26" s="46"/>
      <c r="B26" s="51"/>
      <c r="C26" s="97"/>
      <c r="D26" s="98"/>
      <c r="E26" s="98"/>
      <c r="F26" s="98"/>
      <c r="G26" s="98"/>
      <c r="H26" s="98"/>
      <c r="I26" s="98"/>
      <c r="J26" s="98"/>
      <c r="K26" s="100"/>
    </row>
    <row r="27" ht="15.75" customHeight="1">
      <c r="A27" s="46"/>
      <c r="B27" s="38" t="s">
        <v>117</v>
      </c>
      <c r="C27" s="40" t="s">
        <v>44</v>
      </c>
      <c r="D27" s="41" t="s">
        <v>52</v>
      </c>
      <c r="E27" s="43"/>
      <c r="F27" s="43"/>
      <c r="G27" s="43"/>
      <c r="H27" s="43"/>
      <c r="I27" s="43"/>
      <c r="J27" s="43"/>
      <c r="K27" s="45"/>
    </row>
    <row r="28" ht="15.75" customHeight="1">
      <c r="A28" s="46"/>
      <c r="B28" s="101" t="s">
        <v>61</v>
      </c>
      <c r="C28" s="51"/>
      <c r="D28" s="41" t="s">
        <v>67</v>
      </c>
      <c r="E28" s="45"/>
      <c r="F28" s="41" t="s">
        <v>69</v>
      </c>
      <c r="G28" s="45"/>
      <c r="H28" s="41" t="s">
        <v>118</v>
      </c>
      <c r="I28" s="45"/>
      <c r="J28" s="41" t="s">
        <v>13</v>
      </c>
      <c r="K28" s="45"/>
    </row>
    <row r="29" ht="24.0" customHeight="1">
      <c r="A29" s="46"/>
      <c r="B29" s="55" t="str">
        <f>RUBRICA!A7</f>
        <v>3. Relaciona el Proyecto APT con sus intereses profesionales. *</v>
      </c>
      <c r="C29" s="60" t="s">
        <v>67</v>
      </c>
      <c r="D29" s="62" t="str">
        <f>IF($C29=CL,"X","")</f>
        <v>X</v>
      </c>
      <c r="E29" s="62">
        <f t="shared" ref="E29:E31" si="11">IF(D29="X",100*0.1,"")</f>
        <v>10</v>
      </c>
      <c r="F29" s="63"/>
      <c r="G29" s="62" t="str">
        <f t="shared" ref="G29:G31" si="12">IF(F29="X",60*0.1,"")</f>
        <v/>
      </c>
      <c r="H29" s="62" t="str">
        <f>IF($C29=ML,"X","")</f>
        <v/>
      </c>
      <c r="I29" s="62" t="str">
        <f t="shared" ref="I29:I31" si="13">IF(H29="X",30*0.1,"")</f>
        <v/>
      </c>
      <c r="J29" s="62" t="str">
        <f>IF($C29=NL,"X","")</f>
        <v/>
      </c>
      <c r="K29" s="62" t="str">
        <f t="shared" ref="K29:K31" si="14">IF($J29="X",0,"")</f>
        <v/>
      </c>
    </row>
    <row r="30" ht="25.5" customHeight="1">
      <c r="A30" s="46"/>
      <c r="B30" s="55" t="str">
        <f>RUBRICA!A15</f>
        <v>11. Expone el tema utilizando un lenguaje técnico disciplinar al presentar la propuesta y responde evidenciando un manejo de la información. *</v>
      </c>
      <c r="C30" s="60" t="s">
        <v>67</v>
      </c>
      <c r="D30" s="62" t="str">
        <f>IF($C30=CL,"X","")</f>
        <v>X</v>
      </c>
      <c r="E30" s="62">
        <f t="shared" si="11"/>
        <v>10</v>
      </c>
      <c r="F30" s="63"/>
      <c r="G30" s="62" t="str">
        <f t="shared" si="12"/>
        <v/>
      </c>
      <c r="H30" s="62" t="str">
        <f>IF($C30=ML,"X","")</f>
        <v/>
      </c>
      <c r="I30" s="62" t="str">
        <f t="shared" si="13"/>
        <v/>
      </c>
      <c r="J30" s="62" t="str">
        <f>IF($C30=NL,"X","")</f>
        <v/>
      </c>
      <c r="K30" s="62" t="str">
        <f t="shared" si="14"/>
        <v/>
      </c>
    </row>
    <row r="31" ht="15.75" customHeight="1">
      <c r="A31" s="46"/>
      <c r="B31" s="55" t="str">
        <f>RUBRICA!A17</f>
        <v>13. Colaboración y trabajo en equipo *</v>
      </c>
      <c r="C31" s="60" t="s">
        <v>67</v>
      </c>
      <c r="D31" s="62" t="str">
        <f>IF($C31=CL,"X","")</f>
        <v>X</v>
      </c>
      <c r="E31" s="62">
        <f t="shared" si="11"/>
        <v>10</v>
      </c>
      <c r="F31" s="63"/>
      <c r="G31" s="62" t="str">
        <f t="shared" si="12"/>
        <v/>
      </c>
      <c r="H31" s="62" t="str">
        <f>IF($C31=ML,"X","")</f>
        <v/>
      </c>
      <c r="I31" s="62" t="str">
        <f t="shared" si="13"/>
        <v/>
      </c>
      <c r="J31" s="62" t="str">
        <f>IF($C31=NL,"X","")</f>
        <v/>
      </c>
      <c r="K31" s="62" t="str">
        <f t="shared" si="14"/>
        <v/>
      </c>
    </row>
    <row r="32" ht="15.75" customHeight="1">
      <c r="A32" s="51"/>
      <c r="B32" s="102" t="s">
        <v>121</v>
      </c>
      <c r="C32" s="76">
        <f>E32+G32+I32+K32</f>
        <v>30</v>
      </c>
      <c r="D32" s="77"/>
      <c r="E32" s="77">
        <f>SUM(E29:E31)</f>
        <v>30</v>
      </c>
      <c r="F32" s="77"/>
      <c r="G32" s="77">
        <f>SUM(G29:G31)</f>
        <v>0</v>
      </c>
      <c r="H32" s="77"/>
      <c r="I32" s="77">
        <f>SUM(I29:I31)</f>
        <v>0</v>
      </c>
      <c r="J32" s="77"/>
      <c r="K32" s="77">
        <f>SUM(K29:K31)</f>
        <v>0</v>
      </c>
    </row>
    <row r="33" ht="15.75" customHeight="1">
      <c r="B33" s="106"/>
      <c r="C33" s="107"/>
    </row>
    <row r="34" ht="15.75" customHeight="1">
      <c r="B34" s="106"/>
      <c r="C34" s="107"/>
    </row>
    <row r="35" ht="15.75" customHeight="1"/>
    <row r="36" ht="15.75" customHeight="1">
      <c r="A36" s="82" t="s">
        <v>112</v>
      </c>
      <c r="B36" s="85" t="s">
        <v>113</v>
      </c>
      <c r="C36" s="93" t="str">
        <f>B5</f>
        <v>Juan Pablo López Peña</v>
      </c>
      <c r="D36" s="94"/>
      <c r="E36" s="94"/>
      <c r="F36" s="94"/>
      <c r="G36" s="94"/>
      <c r="H36" s="94"/>
      <c r="I36" s="94"/>
      <c r="J36" s="94"/>
      <c r="K36" s="95"/>
    </row>
    <row r="37" ht="15.75" customHeight="1">
      <c r="A37" s="46"/>
      <c r="B37" s="51"/>
      <c r="C37" s="97"/>
      <c r="D37" s="98"/>
      <c r="E37" s="98"/>
      <c r="F37" s="98"/>
      <c r="G37" s="98"/>
      <c r="H37" s="98"/>
      <c r="I37" s="98"/>
      <c r="J37" s="98"/>
      <c r="K37" s="100"/>
    </row>
    <row r="38" ht="15.75" customHeight="1">
      <c r="A38" s="46"/>
      <c r="B38" s="38" t="s">
        <v>117</v>
      </c>
      <c r="C38" s="40" t="s">
        <v>44</v>
      </c>
      <c r="D38" s="41" t="s">
        <v>52</v>
      </c>
      <c r="E38" s="43"/>
      <c r="F38" s="43"/>
      <c r="G38" s="43"/>
      <c r="H38" s="43"/>
      <c r="I38" s="43"/>
      <c r="J38" s="43"/>
      <c r="K38" s="45"/>
    </row>
    <row r="39" ht="15.75" customHeight="1">
      <c r="A39" s="46"/>
      <c r="B39" s="101" t="s">
        <v>61</v>
      </c>
      <c r="C39" s="51"/>
      <c r="D39" s="41" t="s">
        <v>67</v>
      </c>
      <c r="E39" s="45"/>
      <c r="F39" s="41" t="s">
        <v>69</v>
      </c>
      <c r="G39" s="45"/>
      <c r="H39" s="41" t="s">
        <v>118</v>
      </c>
      <c r="I39" s="45"/>
      <c r="J39" s="41" t="s">
        <v>13</v>
      </c>
      <c r="K39" s="45"/>
    </row>
    <row r="40" ht="25.5" customHeight="1">
      <c r="A40" s="46"/>
      <c r="B40" s="55" t="str">
        <f>RUBRICA!A7</f>
        <v>3. Relaciona el Proyecto APT con sus intereses profesionales. *</v>
      </c>
      <c r="C40" s="60" t="s">
        <v>67</v>
      </c>
      <c r="D40" s="62" t="str">
        <f>IF($C40=CL,"X","")</f>
        <v>X</v>
      </c>
      <c r="E40" s="62">
        <f t="shared" ref="E40:E42" si="15">IF(D40="X",100*0.1,"")</f>
        <v>10</v>
      </c>
      <c r="F40" s="63"/>
      <c r="G40" s="62" t="str">
        <f t="shared" ref="G40:G42" si="16">IF(F40="X",60*0.1,"")</f>
        <v/>
      </c>
      <c r="H40" s="62" t="str">
        <f>IF($C40=ML,"X","")</f>
        <v/>
      </c>
      <c r="I40" s="62" t="str">
        <f t="shared" ref="I40:I42" si="17">IF(H40="X",30*0.1,"")</f>
        <v/>
      </c>
      <c r="J40" s="62" t="str">
        <f>IF($C40=NL,"X","")</f>
        <v/>
      </c>
      <c r="K40" s="62" t="str">
        <f t="shared" ref="K40:K42" si="18">IF($J40="X",0,"")</f>
        <v/>
      </c>
    </row>
    <row r="41" ht="15.75" customHeight="1">
      <c r="A41" s="46"/>
      <c r="B41" s="55" t="str">
        <f>RUBRICA!A15</f>
        <v>11. Expone el tema utilizando un lenguaje técnico disciplinar al presentar la propuesta y responde evidenciando un manejo de la información. *</v>
      </c>
      <c r="C41" s="60" t="s">
        <v>67</v>
      </c>
      <c r="D41" s="62" t="str">
        <f>IF($C41=CL,"X","")</f>
        <v>X</v>
      </c>
      <c r="E41" s="62">
        <f t="shared" si="15"/>
        <v>10</v>
      </c>
      <c r="F41" s="63"/>
      <c r="G41" s="62" t="str">
        <f t="shared" si="16"/>
        <v/>
      </c>
      <c r="H41" s="62" t="str">
        <f>IF($C41=ML,"X","")</f>
        <v/>
      </c>
      <c r="I41" s="62" t="str">
        <f t="shared" si="17"/>
        <v/>
      </c>
      <c r="J41" s="62" t="str">
        <f>IF($C41=NL,"X","")</f>
        <v/>
      </c>
      <c r="K41" s="62" t="str">
        <f t="shared" si="18"/>
        <v/>
      </c>
    </row>
    <row r="42" ht="15.75" customHeight="1">
      <c r="A42" s="46"/>
      <c r="B42" s="55" t="str">
        <f>RUBRICA!A17</f>
        <v>13. Colaboración y trabajo en equipo *</v>
      </c>
      <c r="C42" s="60" t="s">
        <v>67</v>
      </c>
      <c r="D42" s="62" t="str">
        <f>IF($C42=CL,"X","")</f>
        <v>X</v>
      </c>
      <c r="E42" s="62">
        <f t="shared" si="15"/>
        <v>10</v>
      </c>
      <c r="F42" s="63"/>
      <c r="G42" s="62" t="str">
        <f t="shared" si="16"/>
        <v/>
      </c>
      <c r="H42" s="62" t="str">
        <f>IF($C42=ML,"X","")</f>
        <v/>
      </c>
      <c r="I42" s="62" t="str">
        <f t="shared" si="17"/>
        <v/>
      </c>
      <c r="J42" s="62" t="str">
        <f>IF($C42=NL,"X","")</f>
        <v/>
      </c>
      <c r="K42" s="62" t="str">
        <f t="shared" si="18"/>
        <v/>
      </c>
    </row>
    <row r="43" ht="15.75" customHeight="1">
      <c r="A43" s="46"/>
      <c r="B43" s="102" t="s">
        <v>121</v>
      </c>
      <c r="C43" s="76">
        <f>E43+G43+I43+K43</f>
        <v>30</v>
      </c>
      <c r="D43" s="77"/>
      <c r="E43" s="77">
        <f>SUM(E40:E42)</f>
        <v>30</v>
      </c>
      <c r="F43" s="77"/>
      <c r="G43" s="77">
        <f>SUM(G40:G42)</f>
        <v>0</v>
      </c>
      <c r="H43" s="77"/>
      <c r="I43" s="77">
        <f>SUM(I40:I42)</f>
        <v>0</v>
      </c>
      <c r="J43" s="77"/>
      <c r="K43" s="77">
        <f>SUM(K40:K42)</f>
        <v>0</v>
      </c>
    </row>
    <row r="44" ht="15.75" customHeight="1">
      <c r="A44" s="51"/>
      <c r="B44" s="108" t="s">
        <v>2</v>
      </c>
      <c r="C44" s="109">
        <f>VLOOKUP(C43,ESCALA_TRAB_EQUIP!A2:B62,2,FALSE)</f>
        <v>7</v>
      </c>
    </row>
    <row r="45" ht="15.75" customHeight="1">
      <c r="B45" s="106"/>
      <c r="C45" s="107"/>
    </row>
    <row r="46" ht="15.75" customHeight="1">
      <c r="B46" s="106"/>
      <c r="C46" s="107"/>
    </row>
    <row r="47" ht="15.75" customHeight="1">
      <c r="B47" s="106"/>
      <c r="C47" s="10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6">
    <mergeCell ref="B25:B26"/>
    <mergeCell ref="A36:A44"/>
    <mergeCell ref="B36:B37"/>
    <mergeCell ref="A10:A22"/>
    <mergeCell ref="A25:A32"/>
    <mergeCell ref="E2:E3"/>
    <mergeCell ref="C10:C11"/>
    <mergeCell ref="D10:K10"/>
    <mergeCell ref="D11:E11"/>
    <mergeCell ref="F11:G11"/>
    <mergeCell ref="H11:I11"/>
    <mergeCell ref="J11:K11"/>
    <mergeCell ref="C27:C28"/>
    <mergeCell ref="C38:C39"/>
    <mergeCell ref="C25:K26"/>
    <mergeCell ref="D27:K27"/>
    <mergeCell ref="D28:E28"/>
    <mergeCell ref="F28:G28"/>
    <mergeCell ref="H28:I28"/>
    <mergeCell ref="J28:K28"/>
    <mergeCell ref="C36:K37"/>
    <mergeCell ref="D38:K38"/>
    <mergeCell ref="D39:E39"/>
    <mergeCell ref="F39:G39"/>
    <mergeCell ref="H39:I39"/>
    <mergeCell ref="J39:K39"/>
  </mergeCells>
  <conditionalFormatting sqref="C4:E5">
    <cfRule type="cellIs" dxfId="0" priority="1" operator="lessThan">
      <formula>4</formula>
    </cfRule>
  </conditionalFormatting>
  <conditionalFormatting sqref="C4:E5">
    <cfRule type="cellIs" dxfId="0" priority="2" operator="lessThan">
      <formula>1</formula>
    </cfRule>
  </conditionalFormatting>
  <dataValidations>
    <dataValidation type="decimal" allowBlank="1" showInputMessage="1" showErrorMessage="1" prompt="Error de Ingreso - Nota debe estar entre 1,0 y 7,0" sqref="C4:E5">
      <formula1>1.0</formula1>
      <formula2>7.0</formula2>
    </dataValidation>
    <dataValidation type="list" allowBlank="1" showErrorMessage="1" sqref="C12:C21 C29:C31 C40:C42">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1</v>
      </c>
      <c r="B2" s="4" t="s">
        <v>3</v>
      </c>
      <c r="C2" s="8"/>
      <c r="D2" s="8"/>
      <c r="E2" s="9"/>
      <c r="F2" s="2" t="s">
        <v>7</v>
      </c>
    </row>
    <row r="3">
      <c r="A3" s="13"/>
      <c r="B3" s="15" t="s">
        <v>8</v>
      </c>
      <c r="C3" s="15" t="s">
        <v>9</v>
      </c>
      <c r="D3" s="18" t="s">
        <v>11</v>
      </c>
      <c r="E3" s="20" t="s">
        <v>13</v>
      </c>
      <c r="F3" s="13"/>
    </row>
    <row r="4" ht="57.0" customHeight="1">
      <c r="A4" s="22"/>
      <c r="B4" s="22"/>
      <c r="C4" s="22"/>
      <c r="D4" s="25">
        <v>-0.3</v>
      </c>
      <c r="E4" s="25">
        <v>0.0</v>
      </c>
      <c r="F4" s="22"/>
    </row>
    <row r="5">
      <c r="A5" s="26" t="s">
        <v>15</v>
      </c>
      <c r="B5" s="28" t="s">
        <v>16</v>
      </c>
      <c r="C5" s="28" t="s">
        <v>17</v>
      </c>
      <c r="D5" s="28" t="s">
        <v>18</v>
      </c>
      <c r="E5" s="28" t="s">
        <v>19</v>
      </c>
      <c r="F5" s="30">
        <v>10.0</v>
      </c>
    </row>
    <row r="6">
      <c r="A6" s="32" t="s">
        <v>20</v>
      </c>
      <c r="B6" s="32" t="s">
        <v>21</v>
      </c>
      <c r="C6" s="32" t="s">
        <v>23</v>
      </c>
      <c r="D6" s="32" t="s">
        <v>24</v>
      </c>
      <c r="E6" s="33" t="s">
        <v>25</v>
      </c>
      <c r="F6" s="34">
        <v>5.0</v>
      </c>
    </row>
    <row r="7" ht="94.5" customHeight="1">
      <c r="A7" s="35" t="s">
        <v>26</v>
      </c>
      <c r="B7" s="35" t="s">
        <v>28</v>
      </c>
      <c r="C7" s="35" t="s">
        <v>29</v>
      </c>
      <c r="D7" s="35" t="s">
        <v>30</v>
      </c>
      <c r="E7" s="35" t="s">
        <v>31</v>
      </c>
      <c r="F7" s="36">
        <v>10.0</v>
      </c>
    </row>
    <row r="8">
      <c r="A8" s="35" t="s">
        <v>33</v>
      </c>
      <c r="B8" s="35" t="s">
        <v>34</v>
      </c>
      <c r="C8" s="35" t="s">
        <v>35</v>
      </c>
      <c r="D8" s="35" t="s">
        <v>36</v>
      </c>
      <c r="E8" s="35" t="s">
        <v>37</v>
      </c>
      <c r="F8" s="36">
        <v>5.0</v>
      </c>
    </row>
    <row r="9" ht="65.25" customHeight="1">
      <c r="A9" s="26" t="s">
        <v>38</v>
      </c>
      <c r="B9" s="28" t="s">
        <v>40</v>
      </c>
      <c r="C9" s="28" t="s">
        <v>41</v>
      </c>
      <c r="D9" s="28" t="s">
        <v>42</v>
      </c>
      <c r="E9" s="28" t="s">
        <v>43</v>
      </c>
      <c r="F9" s="30">
        <v>5.0</v>
      </c>
    </row>
    <row r="10">
      <c r="A10" s="26" t="s">
        <v>45</v>
      </c>
      <c r="B10" s="28" t="s">
        <v>46</v>
      </c>
      <c r="C10" s="28" t="s">
        <v>47</v>
      </c>
      <c r="D10" s="28" t="s">
        <v>48</v>
      </c>
      <c r="E10" s="28" t="s">
        <v>49</v>
      </c>
      <c r="F10" s="30">
        <v>10.0</v>
      </c>
    </row>
    <row r="11">
      <c r="A11" s="32" t="s">
        <v>50</v>
      </c>
      <c r="B11" s="32" t="s">
        <v>51</v>
      </c>
      <c r="C11" s="32" t="s">
        <v>53</v>
      </c>
      <c r="D11" s="32" t="s">
        <v>54</v>
      </c>
      <c r="E11" s="32" t="s">
        <v>55</v>
      </c>
      <c r="F11" s="34">
        <v>10.0</v>
      </c>
    </row>
    <row r="12">
      <c r="A12" s="44" t="s">
        <v>56</v>
      </c>
      <c r="B12" s="33" t="s">
        <v>57</v>
      </c>
      <c r="C12" s="33" t="s">
        <v>58</v>
      </c>
      <c r="D12" s="33" t="s">
        <v>59</v>
      </c>
      <c r="E12" s="33" t="s">
        <v>60</v>
      </c>
      <c r="F12" s="48">
        <v>5.0</v>
      </c>
    </row>
    <row r="13" ht="93.75" customHeight="1">
      <c r="A13" s="35" t="s">
        <v>62</v>
      </c>
      <c r="B13" s="35" t="s">
        <v>63</v>
      </c>
      <c r="C13" s="35" t="s">
        <v>64</v>
      </c>
      <c r="D13" s="35" t="s">
        <v>65</v>
      </c>
      <c r="E13" s="35" t="s">
        <v>66</v>
      </c>
      <c r="F13" s="52">
        <v>5.0</v>
      </c>
    </row>
    <row r="14">
      <c r="A14" s="35" t="s">
        <v>68</v>
      </c>
      <c r="B14" s="35" t="s">
        <v>70</v>
      </c>
      <c r="C14" s="35" t="s">
        <v>71</v>
      </c>
      <c r="D14" s="35" t="s">
        <v>73</v>
      </c>
      <c r="E14" s="35" t="s">
        <v>74</v>
      </c>
      <c r="F14" s="52">
        <v>5.0</v>
      </c>
    </row>
    <row r="15">
      <c r="A15" s="26" t="s">
        <v>75</v>
      </c>
      <c r="B15" s="28" t="s">
        <v>76</v>
      </c>
      <c r="C15" s="28" t="s">
        <v>77</v>
      </c>
      <c r="D15" s="28" t="s">
        <v>78</v>
      </c>
      <c r="E15" s="28" t="s">
        <v>79</v>
      </c>
      <c r="F15" s="30">
        <v>10.0</v>
      </c>
    </row>
    <row r="16">
      <c r="A16" s="26" t="s">
        <v>80</v>
      </c>
      <c r="B16" s="28" t="s">
        <v>81</v>
      </c>
      <c r="C16" s="28" t="s">
        <v>82</v>
      </c>
      <c r="D16" s="28" t="s">
        <v>83</v>
      </c>
      <c r="E16" s="28" t="s">
        <v>84</v>
      </c>
      <c r="F16" s="30">
        <v>10.0</v>
      </c>
    </row>
    <row r="17">
      <c r="A17" s="26" t="s">
        <v>85</v>
      </c>
      <c r="B17" s="28" t="s">
        <v>87</v>
      </c>
      <c r="C17" s="28" t="s">
        <v>88</v>
      </c>
      <c r="D17" s="28" t="s">
        <v>89</v>
      </c>
      <c r="E17" s="28" t="s">
        <v>91</v>
      </c>
      <c r="F17" s="30">
        <v>10.0</v>
      </c>
    </row>
    <row r="18">
      <c r="A18" s="57" t="s">
        <v>92</v>
      </c>
      <c r="B18" s="8"/>
      <c r="C18" s="8"/>
      <c r="D18" s="8"/>
      <c r="E18" s="9"/>
      <c r="F18" s="59">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106</v>
      </c>
      <c r="B1" s="1" t="s">
        <v>107</v>
      </c>
    </row>
    <row r="2">
      <c r="A2" s="1">
        <v>0.0</v>
      </c>
      <c r="B2" s="31">
        <v>1.0</v>
      </c>
    </row>
    <row r="3">
      <c r="A3" s="1">
        <v>1.0</v>
      </c>
      <c r="B3" s="31">
        <v>1.1</v>
      </c>
    </row>
    <row r="4">
      <c r="A4" s="1">
        <v>2.0</v>
      </c>
      <c r="B4" s="31">
        <v>1.2</v>
      </c>
    </row>
    <row r="5">
      <c r="A5" s="1">
        <v>3.0</v>
      </c>
      <c r="B5" s="31">
        <v>1.3</v>
      </c>
    </row>
    <row r="6">
      <c r="A6" s="1">
        <v>4.0</v>
      </c>
      <c r="B6" s="31">
        <v>1.4</v>
      </c>
    </row>
    <row r="7">
      <c r="A7" s="1">
        <v>5.0</v>
      </c>
      <c r="B7" s="31">
        <v>1.5</v>
      </c>
    </row>
    <row r="8">
      <c r="A8" s="1">
        <v>6.0</v>
      </c>
      <c r="B8" s="31">
        <v>1.6</v>
      </c>
    </row>
    <row r="9">
      <c r="A9" s="1">
        <v>7.0</v>
      </c>
      <c r="B9" s="31">
        <v>1.7</v>
      </c>
    </row>
    <row r="10">
      <c r="A10" s="1">
        <v>8.0</v>
      </c>
      <c r="B10" s="31">
        <v>1.8</v>
      </c>
    </row>
    <row r="11">
      <c r="A11" s="1">
        <v>9.0</v>
      </c>
      <c r="B11" s="31">
        <v>1.9</v>
      </c>
    </row>
    <row r="12">
      <c r="A12" s="1">
        <v>10.0</v>
      </c>
      <c r="B12" s="31">
        <v>2.0</v>
      </c>
    </row>
    <row r="13">
      <c r="A13" s="1">
        <v>11.0</v>
      </c>
      <c r="B13" s="31">
        <v>2.1</v>
      </c>
    </row>
    <row r="14">
      <c r="A14" s="1">
        <v>12.0</v>
      </c>
      <c r="B14" s="31">
        <v>2.2</v>
      </c>
    </row>
    <row r="15">
      <c r="A15" s="1">
        <v>13.0</v>
      </c>
      <c r="B15" s="31">
        <v>2.3</v>
      </c>
    </row>
    <row r="16">
      <c r="A16" s="1">
        <v>14.0</v>
      </c>
      <c r="B16" s="31">
        <v>2.3</v>
      </c>
    </row>
    <row r="17">
      <c r="A17" s="1">
        <v>15.0</v>
      </c>
      <c r="B17" s="31">
        <v>2.4</v>
      </c>
    </row>
    <row r="18">
      <c r="A18" s="1">
        <v>16.0</v>
      </c>
      <c r="B18" s="31">
        <v>2.5</v>
      </c>
    </row>
    <row r="19">
      <c r="A19" s="1">
        <v>17.0</v>
      </c>
      <c r="B19" s="31">
        <v>2.6</v>
      </c>
    </row>
    <row r="20">
      <c r="A20" s="1">
        <v>18.0</v>
      </c>
      <c r="B20" s="31">
        <v>2.7</v>
      </c>
    </row>
    <row r="21" ht="15.75" customHeight="1">
      <c r="A21" s="1">
        <v>19.0</v>
      </c>
      <c r="B21" s="31">
        <v>2.8</v>
      </c>
    </row>
    <row r="22" ht="15.75" customHeight="1">
      <c r="A22" s="1">
        <v>20.0</v>
      </c>
      <c r="B22" s="31">
        <v>2.9</v>
      </c>
    </row>
    <row r="23" ht="15.75" customHeight="1">
      <c r="A23" s="1">
        <v>21.0</v>
      </c>
      <c r="B23" s="31">
        <v>3.0</v>
      </c>
    </row>
    <row r="24" ht="15.75" customHeight="1">
      <c r="A24" s="1">
        <v>22.0</v>
      </c>
      <c r="B24" s="31">
        <v>3.1</v>
      </c>
    </row>
    <row r="25" ht="15.75" customHeight="1">
      <c r="A25" s="1">
        <v>23.0</v>
      </c>
      <c r="B25" s="31">
        <v>3.2</v>
      </c>
    </row>
    <row r="26" ht="15.75" customHeight="1">
      <c r="A26" s="1">
        <v>24.0</v>
      </c>
      <c r="B26" s="31">
        <v>3.3</v>
      </c>
    </row>
    <row r="27" ht="15.75" customHeight="1">
      <c r="A27" s="1">
        <v>25.0</v>
      </c>
      <c r="B27" s="31">
        <v>3.4</v>
      </c>
    </row>
    <row r="28" ht="15.75" customHeight="1">
      <c r="A28" s="1">
        <v>26.0</v>
      </c>
      <c r="B28" s="31">
        <v>3.5</v>
      </c>
    </row>
    <row r="29" ht="15.75" customHeight="1">
      <c r="A29" s="1">
        <v>27.0</v>
      </c>
      <c r="B29" s="31">
        <v>3.6</v>
      </c>
    </row>
    <row r="30" ht="15.75" customHeight="1">
      <c r="A30" s="1">
        <v>28.0</v>
      </c>
      <c r="B30" s="31">
        <v>3.7</v>
      </c>
    </row>
    <row r="31" ht="15.75" customHeight="1">
      <c r="A31" s="1">
        <v>29.0</v>
      </c>
      <c r="B31" s="31">
        <v>3.8</v>
      </c>
    </row>
    <row r="32" ht="15.75" customHeight="1">
      <c r="A32" s="1">
        <v>30.0</v>
      </c>
      <c r="B32" s="31">
        <v>3.9</v>
      </c>
    </row>
    <row r="33" ht="15.75" customHeight="1">
      <c r="A33" s="1">
        <v>31.0</v>
      </c>
      <c r="B33" s="31">
        <v>4.0</v>
      </c>
    </row>
    <row r="34" ht="15.75" customHeight="1">
      <c r="A34" s="1">
        <v>32.0</v>
      </c>
      <c r="B34" s="31">
        <v>4.1</v>
      </c>
    </row>
    <row r="35" ht="15.75" customHeight="1">
      <c r="A35" s="1">
        <v>33.0</v>
      </c>
      <c r="B35" s="31">
        <v>4.3</v>
      </c>
    </row>
    <row r="36" ht="15.75" customHeight="1">
      <c r="A36" s="1">
        <v>34.0</v>
      </c>
      <c r="B36" s="31">
        <v>4.4</v>
      </c>
    </row>
    <row r="37" ht="15.75" customHeight="1">
      <c r="A37" s="1">
        <v>35.0</v>
      </c>
      <c r="B37" s="31">
        <v>4.5</v>
      </c>
    </row>
    <row r="38" ht="15.75" customHeight="1">
      <c r="A38" s="1">
        <v>36.0</v>
      </c>
      <c r="B38" s="31">
        <v>4.7</v>
      </c>
    </row>
    <row r="39" ht="15.75" customHeight="1">
      <c r="A39" s="1">
        <v>37.0</v>
      </c>
      <c r="B39" s="31">
        <v>4.8</v>
      </c>
    </row>
    <row r="40" ht="15.75" customHeight="1">
      <c r="A40" s="1">
        <v>38.0</v>
      </c>
      <c r="B40" s="31">
        <v>5.0</v>
      </c>
    </row>
    <row r="41" ht="15.75" customHeight="1">
      <c r="A41" s="1">
        <v>39.0</v>
      </c>
      <c r="B41" s="31">
        <v>5.1</v>
      </c>
    </row>
    <row r="42" ht="15.75" customHeight="1">
      <c r="A42" s="1">
        <v>40.0</v>
      </c>
      <c r="B42" s="31">
        <v>5.3</v>
      </c>
    </row>
    <row r="43" ht="15.75" customHeight="1">
      <c r="A43" s="1">
        <v>41.0</v>
      </c>
      <c r="B43" s="31">
        <v>5.4</v>
      </c>
    </row>
    <row r="44" ht="15.75" customHeight="1">
      <c r="A44" s="1">
        <v>42.0</v>
      </c>
      <c r="B44" s="31">
        <v>5.6</v>
      </c>
    </row>
    <row r="45" ht="15.75" customHeight="1">
      <c r="A45" s="1">
        <v>43.0</v>
      </c>
      <c r="B45" s="31">
        <v>5.7</v>
      </c>
    </row>
    <row r="46" ht="15.75" customHeight="1">
      <c r="A46" s="1">
        <v>44.0</v>
      </c>
      <c r="B46" s="31">
        <v>5.8</v>
      </c>
    </row>
    <row r="47" ht="15.75" customHeight="1">
      <c r="A47" s="1">
        <v>45.0</v>
      </c>
      <c r="B47" s="31">
        <v>6.0</v>
      </c>
    </row>
    <row r="48" ht="15.75" customHeight="1">
      <c r="A48" s="1">
        <v>46.0</v>
      </c>
      <c r="B48" s="31">
        <v>6.1</v>
      </c>
    </row>
    <row r="49" ht="15.75" customHeight="1">
      <c r="A49" s="1">
        <v>47.0</v>
      </c>
      <c r="B49" s="31">
        <v>6.3</v>
      </c>
    </row>
    <row r="50" ht="15.75" customHeight="1">
      <c r="A50" s="1">
        <v>48.0</v>
      </c>
      <c r="B50" s="31">
        <v>6.4</v>
      </c>
    </row>
    <row r="51" ht="15.75" customHeight="1">
      <c r="A51" s="1">
        <v>49.0</v>
      </c>
      <c r="B51" s="31">
        <v>6.6</v>
      </c>
    </row>
    <row r="52" ht="15.75" customHeight="1">
      <c r="A52" s="1">
        <v>50.0</v>
      </c>
      <c r="B52" s="31">
        <v>6.7</v>
      </c>
    </row>
    <row r="53" ht="15.75" customHeight="1">
      <c r="A53" s="1">
        <v>51.0</v>
      </c>
      <c r="B53" s="31">
        <v>6.9</v>
      </c>
    </row>
    <row r="54" ht="15.75" customHeight="1">
      <c r="A54" s="1">
        <v>52.0</v>
      </c>
      <c r="B54" s="31">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81" t="s">
        <v>111</v>
      </c>
      <c r="B1" s="83" t="s">
        <v>0</v>
      </c>
      <c r="C1" s="84"/>
      <c r="D1" s="84"/>
      <c r="E1" s="86"/>
    </row>
    <row r="2">
      <c r="A2" s="87"/>
      <c r="B2" s="88" t="s">
        <v>67</v>
      </c>
      <c r="C2" s="89" t="s">
        <v>69</v>
      </c>
      <c r="D2" s="89" t="s">
        <v>114</v>
      </c>
      <c r="E2" s="90" t="s">
        <v>13</v>
      </c>
    </row>
    <row r="3">
      <c r="A3" s="91" t="s">
        <v>115</v>
      </c>
      <c r="B3" s="92">
        <v>4.0</v>
      </c>
      <c r="C3" s="92">
        <v>3.0</v>
      </c>
      <c r="D3" s="92">
        <v>2.0</v>
      </c>
      <c r="E3" s="92">
        <v>0.0</v>
      </c>
    </row>
    <row r="4">
      <c r="A4" s="91"/>
      <c r="B4" s="92"/>
      <c r="C4" s="92"/>
      <c r="D4" s="92"/>
      <c r="E4" s="92"/>
    </row>
    <row r="5">
      <c r="A5" s="91"/>
      <c r="B5" s="92"/>
      <c r="C5" s="92"/>
      <c r="D5" s="92"/>
      <c r="E5" s="9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